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Cover" sheetId="1" state="visible" r:id="rId1"/>
    <sheet xmlns:r="http://schemas.openxmlformats.org/officeDocument/2006/relationships" name="Case Study I" sheetId="2" state="visible" r:id="rId2"/>
    <sheet xmlns:r="http://schemas.openxmlformats.org/officeDocument/2006/relationships" name="Case Study II" sheetId="3" state="visible" r:id="rId3"/>
    <sheet xmlns:r="http://schemas.openxmlformats.org/officeDocument/2006/relationships" name="Back Cover" sheetId="4" state="visible" r:id="rId4"/>
    <sheet xmlns:r="http://schemas.openxmlformats.org/officeDocument/2006/relationships" name="CS I - Solution" sheetId="5" state="visible" r:id="rId5"/>
    <sheet xmlns:r="http://schemas.openxmlformats.org/officeDocument/2006/relationships" name="CS II - Calc" sheetId="6" state="visible" r:id="rId6"/>
    <sheet xmlns:r="http://schemas.openxmlformats.org/officeDocument/2006/relationships" name="CS II - Summary" sheetId="7" state="visible" r:id="rId7"/>
  </sheets>
  <definedNames>
    <definedName name="_xlnm.Print_Area" localSheetId="0">'Cover'!$A$1:$M$34</definedName>
    <definedName name="_xlnm.Print_Area" localSheetId="1">'Case Study I'!$B$1:$J$18</definedName>
    <definedName name="_xlnm.Print_Area" localSheetId="2">'Case Study II'!$B$1:$J$86</definedName>
    <definedName name="_xlnm.Print_Area" localSheetId="3">'Back Cover'!$A$1:$M$34</definedName>
  </definedNames>
  <calcPr calcId="191029" fullCalcOnLoad="1"/>
</workbook>
</file>

<file path=xl/styles.xml><?xml version="1.0" encoding="utf-8"?>
<styleSheet xmlns="http://schemas.openxmlformats.org/spreadsheetml/2006/main">
  <numFmts count="5">
    <numFmt numFmtId="164" formatCode="[$$-409]#,##0"/>
    <numFmt numFmtId="165" formatCode="[$$-409]#,##0.00"/>
    <numFmt numFmtId="166" formatCode="$#,##0"/>
    <numFmt numFmtId="167" formatCode="0.0"/>
    <numFmt numFmtId="168" formatCode="$#,##0.00"/>
  </numFmts>
  <fonts count="10">
    <font>
      <name val="Calibri"/>
      <family val="2"/>
      <color theme="1"/>
      <sz val="11"/>
      <scheme val="minor"/>
    </font>
    <font>
      <name val="Calibri"/>
      <family val="2"/>
      <b val="1"/>
      <color theme="1"/>
      <sz val="11"/>
      <u val="single"/>
      <scheme val="minor"/>
    </font>
    <font>
      <name val="Calibri"/>
      <family val="2"/>
      <b val="1"/>
      <sz val="11"/>
      <scheme val="minor"/>
    </font>
    <font>
      <name val="Calibri"/>
      <family val="2"/>
      <b val="1"/>
      <color theme="1"/>
      <sz val="11"/>
      <scheme val="minor"/>
    </font>
    <font>
      <name val="Calibri"/>
      <family val="2"/>
      <sz val="8"/>
      <scheme val="minor"/>
    </font>
    <font>
      <name val="Calibri"/>
      <family val="2"/>
      <sz val="11"/>
      <scheme val="minor"/>
    </font>
    <font>
      <name val="Calibri"/>
      <family val="2"/>
      <color theme="1"/>
      <sz val="11"/>
      <scheme val="minor"/>
    </font>
    <font>
      <name val="Calibri"/>
      <family val="2"/>
      <b val="1"/>
      <color rgb="FFC00000"/>
      <sz val="11"/>
      <scheme val="minor"/>
    </font>
    <font>
      <b val="1"/>
      <sz val="14"/>
    </font>
    <font>
      <b val="1"/>
    </font>
  </fonts>
  <fills count="7">
    <fill>
      <patternFill/>
    </fill>
    <fill>
      <patternFill patternType="gray125"/>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rgb="FFEFEFEF"/>
        <bgColor rgb="FFEFEFEF"/>
      </patternFill>
    </fill>
  </fills>
  <borders count="18">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thin">
        <color theme="0" tint="-0.249946592608417"/>
      </bottom>
      <diagonal/>
    </border>
    <border>
      <left/>
      <right/>
      <top style="thin">
        <color theme="0" tint="-0.249946592608417"/>
      </top>
      <bottom style="thin">
        <color theme="0" tint="-0.249946592608417"/>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style="thin">
        <color indexed="64"/>
      </right>
      <top style="medium">
        <color indexed="64"/>
      </top>
      <bottom/>
      <diagonal/>
    </border>
    <border>
      <left style="thin">
        <color rgb="FFBBBBBB"/>
      </left>
      <right style="thin">
        <color rgb="FFBBBBBB"/>
      </right>
      <top style="thin">
        <color rgb="FFBBBBBB"/>
      </top>
      <bottom style="thin">
        <color rgb="FFBBBBBB"/>
      </bottom>
    </border>
  </borders>
  <cellStyleXfs count="2">
    <xf numFmtId="0" fontId="6" fillId="0" borderId="0"/>
    <xf numFmtId="9" fontId="6" fillId="0" borderId="0"/>
  </cellStyleXfs>
  <cellXfs count="63">
    <xf numFmtId="0" fontId="0" fillId="0" borderId="0" pivotButton="0" quotePrefix="0" xfId="0"/>
    <xf numFmtId="0" fontId="0" fillId="2" borderId="0" pivotButton="0" quotePrefix="0" xfId="0"/>
    <xf numFmtId="0" fontId="0" fillId="2" borderId="1" pivotButton="0" quotePrefix="0" xfId="0"/>
    <xf numFmtId="0" fontId="0" fillId="2" borderId="2" pivotButton="0" quotePrefix="0" xfId="0"/>
    <xf numFmtId="0" fontId="0" fillId="2" borderId="3" pivotButton="0" quotePrefix="0" xfId="0"/>
    <xf numFmtId="0" fontId="0" fillId="2" borderId="4" pivotButton="0" quotePrefix="0" xfId="0"/>
    <xf numFmtId="0" fontId="0" fillId="2" borderId="5" pivotButton="0" quotePrefix="0" xfId="0"/>
    <xf numFmtId="0" fontId="0" fillId="2" borderId="6" pivotButton="0" quotePrefix="0" xfId="0"/>
    <xf numFmtId="0" fontId="0" fillId="2" borderId="7" pivotButton="0" quotePrefix="0" xfId="0"/>
    <xf numFmtId="0" fontId="0" fillId="2" borderId="8" pivotButton="0" quotePrefix="0" xfId="0"/>
    <xf numFmtId="0" fontId="0" fillId="0" borderId="0" applyAlignment="1" pivotButton="0" quotePrefix="0" xfId="0">
      <alignment vertical="center"/>
    </xf>
    <xf numFmtId="0" fontId="3" fillId="3" borderId="13" applyAlignment="1" pivotButton="0" quotePrefix="0" xfId="0">
      <alignment vertical="center"/>
    </xf>
    <xf numFmtId="0" fontId="3" fillId="3" borderId="13" applyAlignment="1" pivotButton="0" quotePrefix="0" xfId="0">
      <alignment horizontal="right" vertical="center"/>
    </xf>
    <xf numFmtId="0" fontId="0" fillId="0" borderId="13" applyAlignment="1" pivotButton="0" quotePrefix="0" xfId="0">
      <alignment vertical="center"/>
    </xf>
    <xf numFmtId="164" fontId="0" fillId="0" borderId="13" applyAlignment="1" pivotButton="0" quotePrefix="0" xfId="0">
      <alignment vertical="center"/>
    </xf>
    <xf numFmtId="165" fontId="0" fillId="0" borderId="0" applyAlignment="1" pivotButton="0" quotePrefix="0" xfId="0">
      <alignment vertical="center"/>
    </xf>
    <xf numFmtId="0" fontId="0" fillId="0" borderId="13" applyAlignment="1" pivotButton="0" quotePrefix="0" xfId="0">
      <alignment horizontal="right" vertical="center"/>
    </xf>
    <xf numFmtId="0" fontId="3" fillId="4" borderId="13" applyAlignment="1" pivotButton="0" quotePrefix="0" xfId="0">
      <alignment vertical="center"/>
    </xf>
    <xf numFmtId="0" fontId="3" fillId="4" borderId="13" applyAlignment="1" pivotButton="0" quotePrefix="0" xfId="0">
      <alignment horizontal="right" vertical="center"/>
    </xf>
    <xf numFmtId="0" fontId="3" fillId="0" borderId="0" applyAlignment="1" pivotButton="0" quotePrefix="0" xfId="0">
      <alignment vertical="center"/>
    </xf>
    <xf numFmtId="0" fontId="0" fillId="0" borderId="0" applyAlignment="1" pivotButton="0" quotePrefix="0" xfId="0">
      <alignment horizontal="right" vertical="center"/>
    </xf>
    <xf numFmtId="0" fontId="3" fillId="0" borderId="0" applyAlignment="1" pivotButton="0" quotePrefix="0" xfId="0">
      <alignment horizontal="right" vertical="center"/>
    </xf>
    <xf numFmtId="164" fontId="0" fillId="0" borderId="12" applyAlignment="1" pivotButton="0" quotePrefix="0" xfId="0">
      <alignment horizontal="right" vertical="center"/>
    </xf>
    <xf numFmtId="0" fontId="0" fillId="0" borderId="12" applyAlignment="1" pivotButton="0" quotePrefix="0" xfId="0">
      <alignment horizontal="right" vertical="center"/>
    </xf>
    <xf numFmtId="164" fontId="0" fillId="0" borderId="13" applyAlignment="1" pivotButton="0" quotePrefix="0" xfId="0">
      <alignment horizontal="right" vertical="center"/>
    </xf>
    <xf numFmtId="0" fontId="0" fillId="0" borderId="0" applyAlignment="1" pivotButton="0" quotePrefix="1" xfId="0">
      <alignment horizontal="left" vertical="center" wrapText="1"/>
    </xf>
    <xf numFmtId="0" fontId="0" fillId="0" borderId="0" applyAlignment="1" pivotButton="0" quotePrefix="0" xfId="0">
      <alignment horizontal="left" vertical="center" wrapText="1"/>
    </xf>
    <xf numFmtId="0" fontId="3" fillId="3" borderId="12" applyAlignment="1" pivotButton="0" quotePrefix="0" xfId="0">
      <alignment horizontal="center" vertical="center" wrapText="1"/>
    </xf>
    <xf numFmtId="0" fontId="3" fillId="3" borderId="0" applyAlignment="1" pivotButton="0" quotePrefix="0" xfId="0">
      <alignment horizontal="right" vertical="center"/>
    </xf>
    <xf numFmtId="0" fontId="3" fillId="3" borderId="12" applyAlignment="1" pivotButton="0" quotePrefix="0" xfId="0">
      <alignment horizontal="right" vertical="center" wrapText="1"/>
    </xf>
    <xf numFmtId="0" fontId="0" fillId="0" borderId="12" applyAlignment="1" pivotButton="0" quotePrefix="0" xfId="0">
      <alignment horizontal="center"/>
    </xf>
    <xf numFmtId="0" fontId="0" fillId="0" borderId="13" applyAlignment="1" pivotButton="0" quotePrefix="0" xfId="0">
      <alignment horizontal="center"/>
    </xf>
    <xf numFmtId="9" fontId="0" fillId="0" borderId="12" applyAlignment="1" pivotButton="0" quotePrefix="0" xfId="1">
      <alignment horizontal="right" vertical="center"/>
    </xf>
    <xf numFmtId="9" fontId="0" fillId="0" borderId="13" applyAlignment="1" pivotButton="0" quotePrefix="0" xfId="1">
      <alignment horizontal="right" vertical="center"/>
    </xf>
    <xf numFmtId="14" fontId="0" fillId="0" borderId="12" applyAlignment="1" pivotButton="0" quotePrefix="0" xfId="0">
      <alignment horizontal="right" vertical="center"/>
    </xf>
    <xf numFmtId="0" fontId="3"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11" applyAlignment="1" pivotButton="0" quotePrefix="0" xfId="0">
      <alignment horizontal="left" vertical="center" wrapText="1"/>
    </xf>
    <xf numFmtId="0" fontId="2" fillId="5" borderId="12" applyAlignment="1" pivotButton="0" quotePrefix="0" xfId="0">
      <alignment horizontal="center" vertical="center" wrapText="1"/>
    </xf>
    <xf numFmtId="0" fontId="0" fillId="0" borderId="9" applyAlignment="1" pivotButton="0" quotePrefix="1" xfId="0">
      <alignment horizontal="left" vertical="center" wrapText="1"/>
    </xf>
    <xf numFmtId="0" fontId="3" fillId="5" borderId="0" applyAlignment="1" pivotButton="0" quotePrefix="0" xfId="0">
      <alignment horizontal="center" vertical="center"/>
    </xf>
    <xf numFmtId="0" fontId="7" fillId="0" borderId="0" applyAlignment="1" pivotButton="0" quotePrefix="0" xfId="0">
      <alignment vertical="center"/>
    </xf>
    <xf numFmtId="0" fontId="3" fillId="0" borderId="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12" pivotButton="0" quotePrefix="0" xfId="0"/>
    <xf numFmtId="0" fontId="0" fillId="0" borderId="14" applyAlignment="1" pivotButton="0" quotePrefix="1" xfId="0">
      <alignment horizontal="left" vertical="center" wrapText="1"/>
    </xf>
    <xf numFmtId="0" fontId="8" fillId="0" borderId="0" pivotButton="0" quotePrefix="0" xfId="0"/>
    <xf numFmtId="0" fontId="9" fillId="0" borderId="0" pivotButton="0" quotePrefix="0" xfId="0"/>
    <xf numFmtId="0" fontId="9" fillId="6" borderId="17" applyAlignment="1" pivotButton="0" quotePrefix="0" xfId="0">
      <alignment horizontal="center"/>
    </xf>
    <xf numFmtId="2" fontId="9" fillId="6" borderId="17" applyAlignment="1" pivotButton="0" quotePrefix="0" xfId="0">
      <alignment horizontal="center"/>
    </xf>
    <xf numFmtId="166" fontId="9" fillId="6" borderId="17" applyAlignment="1" pivotButton="0" quotePrefix="0" xfId="0">
      <alignment horizontal="center"/>
    </xf>
    <xf numFmtId="0" fontId="0" fillId="0" borderId="17" pivotButton="0" quotePrefix="0" xfId="0"/>
    <xf numFmtId="2" fontId="0" fillId="0" borderId="17" pivotButton="0" quotePrefix="0" xfId="0"/>
    <xf numFmtId="166" fontId="0" fillId="0" borderId="17" pivotButton="0" quotePrefix="0" xfId="0"/>
    <xf numFmtId="0" fontId="9" fillId="0" borderId="17" pivotButton="0" quotePrefix="0" xfId="0"/>
    <xf numFmtId="166" fontId="0" fillId="0" borderId="0" pivotButton="0" quotePrefix="0" xfId="0"/>
    <xf numFmtId="167" fontId="0" fillId="0" borderId="0" pivotButton="0" quotePrefix="0" xfId="0"/>
    <xf numFmtId="0" fontId="9" fillId="6" borderId="0" applyAlignment="1" pivotButton="0" quotePrefix="0" xfId="0">
      <alignment horizontal="center"/>
    </xf>
    <xf numFmtId="4" fontId="0" fillId="0" borderId="0" pivotButton="0" quotePrefix="0" xfId="0"/>
    <xf numFmtId="168" fontId="0" fillId="0" borderId="0" pivotButton="0" quotePrefix="0" xfId="0"/>
    <xf numFmtId="1" fontId="0" fillId="0" borderId="0" pivotButton="0" quotePrefix="0" xfId="0"/>
    <xf numFmtId="0" fontId="9" fillId="6" borderId="0" pivotButton="0" quotePrefix="0" xfId="0"/>
  </cellXfs>
  <cellStyles count="2">
    <cellStyle name="Normal" xfId="0" builtinId="0"/>
    <cellStyle name="Percent" xfId="1" builtinId="5"/>
  </cellStyles>
  <dxfs count="1">
    <dxf>
      <fill>
        <patternFill patternType="solid">
          <fgColor rgb="FFFFC7CE"/>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34"/>
  <sheetViews>
    <sheetView topLeftCell="A7" zoomScale="80" zoomScaleNormal="80" zoomScaleSheetLayoutView="85" workbookViewId="0">
      <selection activeCell="P31" sqref="P31"/>
    </sheetView>
  </sheetViews>
  <sheetFormatPr baseColWidth="8" defaultColWidth="0" defaultRowHeight="14.4" zeroHeight="1"/>
  <cols>
    <col width="10.33203125" customWidth="1" style="1" min="1" max="17"/>
    <col hidden="1" width="10.33203125" customWidth="1" style="1" min="18" max="16384"/>
  </cols>
  <sheetData>
    <row r="1">
      <c r="A1" s="2" t="n"/>
      <c r="B1" s="3" t="n"/>
      <c r="C1" s="3" t="n"/>
      <c r="D1" s="3" t="n"/>
      <c r="E1" s="3" t="n"/>
      <c r="F1" s="3" t="n"/>
      <c r="G1" s="3" t="n"/>
      <c r="H1" s="3" t="n"/>
      <c r="I1" s="3" t="n"/>
      <c r="J1" s="3" t="n"/>
      <c r="K1" s="3" t="n"/>
      <c r="L1" s="3" t="n"/>
      <c r="M1" s="4" t="n"/>
    </row>
    <row r="2">
      <c r="A2" s="5" t="n"/>
      <c r="M2" s="6" t="n"/>
    </row>
    <row r="3">
      <c r="A3" s="5" t="n"/>
      <c r="M3" s="6" t="n"/>
    </row>
    <row r="4">
      <c r="A4" s="5" t="n"/>
      <c r="M4" s="6" t="n"/>
    </row>
    <row r="5">
      <c r="A5" s="5" t="n"/>
      <c r="M5" s="6" t="n"/>
    </row>
    <row r="6">
      <c r="A6" s="5" t="n"/>
      <c r="M6" s="6" t="n"/>
    </row>
    <row r="7">
      <c r="A7" s="5" t="n"/>
      <c r="M7" s="6" t="n"/>
    </row>
    <row r="8">
      <c r="A8" s="5" t="n"/>
      <c r="M8" s="6" t="n"/>
    </row>
    <row r="9">
      <c r="A9" s="5" t="n"/>
      <c r="M9" s="6" t="n"/>
    </row>
    <row r="10">
      <c r="A10" s="5" t="n"/>
      <c r="M10" s="6" t="n"/>
    </row>
    <row r="11">
      <c r="A11" s="5" t="n"/>
      <c r="M11" s="6" t="n"/>
    </row>
    <row r="12">
      <c r="A12" s="5" t="n"/>
      <c r="M12" s="6" t="n"/>
    </row>
    <row r="13">
      <c r="A13" s="5" t="n"/>
      <c r="M13" s="6" t="n"/>
    </row>
    <row r="14">
      <c r="A14" s="5" t="n"/>
      <c r="M14" s="6" t="n"/>
    </row>
    <row r="15">
      <c r="A15" s="5" t="n"/>
      <c r="M15" s="6" t="n"/>
    </row>
    <row r="16">
      <c r="A16" s="5" t="n"/>
      <c r="M16" s="6" t="n"/>
    </row>
    <row r="17">
      <c r="A17" s="5" t="n"/>
      <c r="M17" s="6" t="n"/>
    </row>
    <row r="18">
      <c r="A18" s="5" t="n"/>
      <c r="M18" s="6" t="n"/>
    </row>
    <row r="19">
      <c r="A19" s="5" t="n"/>
      <c r="M19" s="6" t="n"/>
    </row>
    <row r="20">
      <c r="A20" s="5" t="n"/>
      <c r="M20" s="6" t="n"/>
    </row>
    <row r="21">
      <c r="A21" s="5" t="n"/>
      <c r="M21" s="6" t="n"/>
    </row>
    <row r="22">
      <c r="A22" s="5" t="n"/>
      <c r="M22" s="6" t="n"/>
    </row>
    <row r="23">
      <c r="A23" s="5" t="n"/>
      <c r="M23" s="6" t="n"/>
    </row>
    <row r="24">
      <c r="A24" s="5" t="n"/>
      <c r="M24" s="6" t="n"/>
    </row>
    <row r="25">
      <c r="A25" s="5" t="n"/>
      <c r="M25" s="6" t="n"/>
    </row>
    <row r="26">
      <c r="A26" s="5" t="n"/>
      <c r="M26" s="6" t="n"/>
    </row>
    <row r="27">
      <c r="A27" s="5" t="n"/>
      <c r="M27" s="6" t="n"/>
    </row>
    <row r="28">
      <c r="A28" s="5" t="n"/>
      <c r="M28" s="6" t="n"/>
    </row>
    <row r="29">
      <c r="A29" s="5" t="n"/>
      <c r="M29" s="6" t="n"/>
    </row>
    <row r="30">
      <c r="A30" s="5" t="n"/>
      <c r="M30" s="6" t="n"/>
    </row>
    <row r="31">
      <c r="A31" s="5" t="n"/>
      <c r="M31" s="6" t="n"/>
    </row>
    <row r="32">
      <c r="A32" s="5" t="n"/>
      <c r="M32" s="6" t="n"/>
    </row>
    <row r="33">
      <c r="A33" s="5" t="n"/>
      <c r="M33" s="6" t="n"/>
    </row>
    <row r="34">
      <c r="A34" s="7" t="n"/>
      <c r="B34" s="8" t="n"/>
      <c r="C34" s="8" t="n"/>
      <c r="D34" s="8" t="n"/>
      <c r="E34" s="8" t="n"/>
      <c r="F34" s="8" t="n"/>
      <c r="G34" s="8" t="n"/>
      <c r="H34" s="8" t="n"/>
      <c r="I34" s="8" t="n"/>
      <c r="J34" s="8" t="n"/>
      <c r="K34" s="8" t="n"/>
      <c r="L34" s="8" t="n"/>
      <c r="M34" s="9" t="n"/>
    </row>
  </sheetData>
  <printOptions horizontalCentered="1"/>
  <pageMargins left="0.7086614173228347" right="0.7086614173228347" top="0.7480314960629921" bottom="0.7480314960629921" header="0.3149606299212598" footer="0.3149606299212598"/>
  <pageSetup orientation="landscape"/>
</worksheet>
</file>

<file path=xl/worksheets/sheet2.xml><?xml version="1.0" encoding="utf-8"?>
<worksheet xmlns="http://schemas.openxmlformats.org/spreadsheetml/2006/main">
  <sheetPr>
    <outlinePr summaryBelow="1" summaryRight="1"/>
    <pageSetUpPr/>
  </sheetPr>
  <dimension ref="B5:M22"/>
  <sheetViews>
    <sheetView showGridLines="0" tabSelected="1" zoomScaleNormal="100" zoomScaleSheetLayoutView="85" workbookViewId="0">
      <pane ySplit="3" topLeftCell="A4" activePane="bottomLeft" state="frozen"/>
      <selection pane="bottomLeft" activeCell="B5" sqref="B5:M5"/>
    </sheetView>
  </sheetViews>
  <sheetFormatPr baseColWidth="8" defaultColWidth="0" defaultRowHeight="14.4" customHeight="1" zeroHeight="1"/>
  <cols>
    <col width="3.6640625" customWidth="1" style="10" min="1" max="1"/>
    <col width="19.88671875" bestFit="1" customWidth="1" style="10" min="2" max="2"/>
    <col width="14.33203125" customWidth="1" style="10" min="3" max="3"/>
    <col width="14" customWidth="1" style="10" min="4" max="4"/>
    <col width="10.6640625" customWidth="1" style="10" min="5" max="5"/>
    <col width="12.44140625" customWidth="1" style="10" min="6" max="7"/>
    <col width="19.88671875" bestFit="1" customWidth="1" style="10" min="8" max="8"/>
    <col width="12.44140625" customWidth="1" style="10" min="9" max="13"/>
    <col width="9.109375" customWidth="1" style="10" min="14" max="14"/>
    <col hidden="1" width="13" customWidth="1" style="10" min="15" max="18"/>
    <col hidden="1" width="9.109375" customWidth="1" style="10" min="19" max="16384"/>
  </cols>
  <sheetData>
    <row r="1" ht="25.2" customHeight="1"/>
    <row r="2" ht="25.2" customHeight="1"/>
    <row r="3" ht="25.2" customHeight="1"/>
    <row r="4" ht="15" customHeight="1" thickBot="1"/>
    <row r="5" ht="60" customHeight="1" thickBot="1">
      <c r="B5" s="42" t="inlineStr">
        <is>
          <t>Case Study: Company XYZ has its headcount spread across 2 locations: Location A and Location B. The CFO has asked your team to evaluate whether the company should transition work from Location A to Location B to reduce it's overall cost of running the business. Based on the data provided below, evaluate the recommendation that you will provide to the CFO. Prepare an excel output that can be used to explain your recommendation to the senior management. Please include any assumptions that you may take into account in your analysis.</t>
        </is>
      </c>
      <c r="C5" s="43" t="n"/>
      <c r="D5" s="43" t="n"/>
      <c r="E5" s="43" t="n"/>
      <c r="F5" s="43" t="n"/>
      <c r="G5" s="43" t="n"/>
      <c r="H5" s="43" t="n"/>
      <c r="I5" s="43" t="n"/>
      <c r="J5" s="43" t="n"/>
      <c r="K5" s="43" t="n"/>
      <c r="L5" s="43" t="n"/>
      <c r="M5" s="44" t="n"/>
    </row>
    <row r="7" ht="33.75" customHeight="1">
      <c r="B7" s="38" t="inlineStr">
        <is>
          <t>Monthly labor rate card across levels</t>
        </is>
      </c>
      <c r="C7" s="45" t="n"/>
      <c r="D7" s="45" t="n"/>
      <c r="H7" s="38" t="inlineStr">
        <is>
          <t>Current FTE
(Headcount)</t>
        </is>
      </c>
      <c r="I7" s="45" t="n"/>
      <c r="J7" s="45" t="n"/>
    </row>
    <row r="8">
      <c r="B8" s="11" t="inlineStr">
        <is>
          <t>Level</t>
        </is>
      </c>
      <c r="C8" s="12" t="inlineStr">
        <is>
          <t>Location A</t>
        </is>
      </c>
      <c r="D8" s="12" t="inlineStr">
        <is>
          <t>Location B</t>
        </is>
      </c>
      <c r="H8" s="11" t="inlineStr">
        <is>
          <t>Level</t>
        </is>
      </c>
      <c r="I8" s="12" t="inlineStr">
        <is>
          <t>Location A</t>
        </is>
      </c>
      <c r="J8" s="12" t="inlineStr">
        <is>
          <t>Location B</t>
        </is>
      </c>
    </row>
    <row r="9">
      <c r="B9" s="13" t="inlineStr">
        <is>
          <t>Manager</t>
        </is>
      </c>
      <c r="C9" s="14" t="n">
        <v>15000</v>
      </c>
      <c r="D9" s="14" t="n">
        <v>14900</v>
      </c>
      <c r="E9" s="15" t="n"/>
      <c r="H9" s="13" t="inlineStr">
        <is>
          <t>Manager</t>
        </is>
      </c>
      <c r="I9" s="16" t="n">
        <v>1</v>
      </c>
      <c r="J9" s="16" t="n"/>
    </row>
    <row r="10">
      <c r="B10" s="13" t="inlineStr">
        <is>
          <t>Sr. Team Lead</t>
        </is>
      </c>
      <c r="C10" s="14" t="n">
        <v>12000</v>
      </c>
      <c r="D10" s="14" t="n">
        <v>11700</v>
      </c>
      <c r="H10" s="13" t="inlineStr">
        <is>
          <t>Sr. Team Lead</t>
        </is>
      </c>
      <c r="I10" s="16" t="n">
        <v>2</v>
      </c>
      <c r="J10" s="16" t="n">
        <v>3</v>
      </c>
    </row>
    <row r="11">
      <c r="B11" s="13" t="inlineStr">
        <is>
          <t>Team Lead</t>
        </is>
      </c>
      <c r="C11" s="14" t="n">
        <v>10000</v>
      </c>
      <c r="D11" s="14" t="n">
        <v>8850</v>
      </c>
      <c r="H11" s="13" t="inlineStr">
        <is>
          <t>Team Lead</t>
        </is>
      </c>
      <c r="I11" s="16" t="n">
        <v>3</v>
      </c>
      <c r="J11" s="16" t="n">
        <v>5</v>
      </c>
    </row>
    <row r="12">
      <c r="B12" s="13" t="inlineStr">
        <is>
          <t>Sr. Analyst II</t>
        </is>
      </c>
      <c r="C12" s="14" t="n">
        <v>8000</v>
      </c>
      <c r="D12" s="14" t="n">
        <v>7000</v>
      </c>
      <c r="H12" s="13" t="inlineStr">
        <is>
          <t>Sr. Analyst II</t>
        </is>
      </c>
      <c r="I12" s="16" t="n">
        <v>5</v>
      </c>
      <c r="J12" s="16" t="n">
        <v>8</v>
      </c>
    </row>
    <row r="13">
      <c r="B13" s="13" t="inlineStr">
        <is>
          <t>Sr. Analyst I</t>
        </is>
      </c>
      <c r="C13" s="14" t="n">
        <v>6000</v>
      </c>
      <c r="D13" s="14" t="n">
        <v>5300</v>
      </c>
      <c r="H13" s="13" t="inlineStr">
        <is>
          <t>Sr. Analyst I</t>
        </is>
      </c>
      <c r="I13" s="16" t="n">
        <v>7</v>
      </c>
      <c r="J13" s="16" t="n">
        <v>14</v>
      </c>
    </row>
    <row r="14">
      <c r="B14" s="13" t="inlineStr">
        <is>
          <t>Analyst II</t>
        </is>
      </c>
      <c r="C14" s="14" t="n">
        <v>4500</v>
      </c>
      <c r="D14" s="14" t="n">
        <v>4000</v>
      </c>
      <c r="H14" s="13" t="inlineStr">
        <is>
          <t>Analyst II</t>
        </is>
      </c>
      <c r="I14" s="16" t="n">
        <v>14</v>
      </c>
      <c r="J14" s="16" t="n">
        <v>45</v>
      </c>
    </row>
    <row r="15">
      <c r="B15" s="13" t="inlineStr">
        <is>
          <t>Analyst I</t>
        </is>
      </c>
      <c r="C15" s="14" t="n">
        <v>2500</v>
      </c>
      <c r="D15" s="14" t="n">
        <v>2200</v>
      </c>
      <c r="H15" s="13" t="inlineStr">
        <is>
          <t>Analyst I</t>
        </is>
      </c>
      <c r="I15" s="16" t="n">
        <v>23</v>
      </c>
      <c r="J15" s="16" t="n">
        <v>25</v>
      </c>
    </row>
    <row r="16">
      <c r="B16" s="13" t="inlineStr">
        <is>
          <t>Analyst I - Night Shift</t>
        </is>
      </c>
      <c r="C16" s="14" t="n">
        <v>3200</v>
      </c>
      <c r="D16" s="14" t="n">
        <v>2750</v>
      </c>
      <c r="H16" s="13" t="inlineStr">
        <is>
          <t>Analyst I - Night Shift</t>
        </is>
      </c>
      <c r="I16" s="16" t="n">
        <v>0</v>
      </c>
      <c r="J16" s="16" t="n">
        <v>0</v>
      </c>
    </row>
    <row r="17">
      <c r="H17" s="17" t="inlineStr">
        <is>
          <t>Total FTEs</t>
        </is>
      </c>
      <c r="I17" s="18" t="n">
        <v>55</v>
      </c>
      <c r="J17" s="18" t="n">
        <v>100</v>
      </c>
    </row>
    <row r="19" ht="15" customHeight="1" thickBot="1">
      <c r="B19" s="19" t="inlineStr">
        <is>
          <t>Additional Notes</t>
        </is>
      </c>
    </row>
    <row r="20" ht="118.5" customHeight="1" thickBot="1">
      <c r="B20" s="46" t="inlineStr">
        <is>
          <t>- For every FTE transitioned to Location B, there will be a one-time infrastructure cost of $3,500 
- Every FTE transitioned to Location B will be paid a one-time retention bonus of $2,000, except 'Manager' and 'Sr. Team Lead's' level FTEs who will get a one-time retention bonus of $3,000
- There will be an additional fixed recurring project management overhead cost of $105 per month for every FTE added to location B
- The company will have to hire 2 new FTEs (Analyst I - Night Shift) at Location B; their monthly transportation cost of $250/FTE will be borne by the company
- The rates at location B will be hiked by 5% for all the employees of the company
- Assume all other fixed and variable costs are the same in both locations
- Focus on analyzing the profitability impact over 3 years</t>
        </is>
      </c>
      <c r="C20" s="43" t="n"/>
      <c r="D20" s="43" t="n"/>
      <c r="E20" s="43" t="n"/>
      <c r="F20" s="43" t="n"/>
      <c r="G20" s="43" t="n"/>
      <c r="H20" s="43" t="n"/>
      <c r="I20" s="43" t="n"/>
      <c r="J20" s="43" t="n"/>
      <c r="K20" s="43" t="n"/>
      <c r="L20" s="43" t="n"/>
      <c r="M20" s="44" t="n"/>
    </row>
    <row r="22">
      <c r="B22" s="41" t="inlineStr">
        <is>
          <t>Make sure you don't paste formulas as values</t>
        </is>
      </c>
    </row>
    <row r="33" hidden="1" ht="14.4" customFormat="1" customHeight="1" s="10"/>
    <row r="34" hidden="1" ht="14.4" customFormat="1" customHeight="1" s="10"/>
    <row r="35" hidden="1" ht="14.4" customFormat="1" customHeight="1" s="10"/>
    <row r="36" hidden="1" ht="14.4" customFormat="1" customHeight="1" s="10"/>
    <row r="37" hidden="1" ht="14.4" customFormat="1" customHeight="1" s="10"/>
    <row r="38" hidden="1" ht="14.4" customFormat="1" customHeight="1" s="10"/>
  </sheetData>
  <mergeCells count="4">
    <mergeCell ref="B5:M5"/>
    <mergeCell ref="B20:M20"/>
    <mergeCell ref="B7:D7"/>
    <mergeCell ref="H7:J7"/>
  </mergeCells>
  <printOptions horizontalCentered="1"/>
  <pageMargins left="0.7086614173228347" right="0.7086614173228347" top="0.7480314960629921" bottom="0.7480314960629921" header="0.3149606299212598" footer="0.3149606299212598"/>
  <pageSetup orientation="landscape" paperSize="9"/>
</worksheet>
</file>

<file path=xl/worksheets/sheet3.xml><?xml version="1.0" encoding="utf-8"?>
<worksheet xmlns="http://schemas.openxmlformats.org/spreadsheetml/2006/main">
  <sheetPr>
    <outlinePr summaryBelow="1" summaryRight="1"/>
    <pageSetUpPr/>
  </sheetPr>
  <dimension ref="A1:M222"/>
  <sheetViews>
    <sheetView showGridLines="0" zoomScaleNormal="100" zoomScaleSheetLayoutView="85" workbookViewId="0">
      <pane ySplit="3" topLeftCell="A4" activePane="bottomLeft" state="frozen"/>
      <selection pane="bottomLeft" activeCell="B5" sqref="B5:M5"/>
    </sheetView>
  </sheetViews>
  <sheetFormatPr baseColWidth="8" defaultColWidth="9.109375" defaultRowHeight="14.4" zeroHeight="1"/>
  <cols>
    <col width="2.21875" customWidth="1" style="10" min="1" max="1"/>
    <col width="19.88671875" customWidth="1" style="10" min="2" max="2"/>
    <col width="14.33203125" customWidth="1" style="10" min="3" max="3"/>
    <col width="14" customWidth="1" style="10" min="4" max="4"/>
    <col width="10.6640625" customWidth="1" style="10" min="5" max="5"/>
    <col width="12.44140625" customWidth="1" style="10" min="6" max="7"/>
    <col width="13" customWidth="1" style="10" min="8" max="8"/>
    <col width="12.44140625" customWidth="1" style="10" min="9" max="13"/>
    <col width="9.109375" customWidth="1" style="10" min="14" max="20"/>
    <col width="9.109375" customWidth="1" style="10" min="21" max="16384"/>
  </cols>
  <sheetData>
    <row r="1" ht="25.2" customHeight="1"/>
    <row r="2" ht="25.2" customHeight="1"/>
    <row r="3" ht="25.2" customHeight="1"/>
    <row r="4" ht="15" customHeight="1" thickBot="1"/>
    <row r="5" ht="137.4" customHeight="1" thickBot="1">
      <c r="B5" s="42" t="inlineStr">
        <is>
          <t>Case Study: Your company operates a global rewards program where participants from different countries earn rewards in their local currency based on performance. The finance team needs an excel-based analysis to find the following:
1. Identify highest earner in every country and overall
2. Calculate total rewards for each country in their local currency and USD both
3. Calculate rewards for each participant in USD
4. Analyze payment delays (if any) (Consider the date the incentives are being sent as - 3/25/2025)
5. Analyze and highlight budget constraints (if any) for each country (Refer to the note in next section for more details)
6. Calculate the total amount and no. of interview rewards for each country as well as overall in USD
7. Summarize the data in dashboard</t>
        </is>
      </c>
      <c r="C5" s="43" t="n"/>
      <c r="D5" s="43" t="n"/>
      <c r="E5" s="43" t="n"/>
      <c r="F5" s="43" t="n"/>
      <c r="G5" s="43" t="n"/>
      <c r="H5" s="43" t="n"/>
      <c r="I5" s="43" t="n"/>
      <c r="J5" s="43" t="n"/>
      <c r="K5" s="43" t="n"/>
      <c r="L5" s="43" t="n"/>
      <c r="M5" s="44" t="n"/>
    </row>
    <row r="6" ht="24.6" customHeight="1" thickBot="1">
      <c r="B6" s="19" t="inlineStr">
        <is>
          <t>Additional Notes</t>
        </is>
      </c>
    </row>
    <row r="7" ht="147" customHeight="1" thickBot="1">
      <c r="B7" s="46" t="inlineStr">
        <is>
          <t>- The finance team should be intimated if the budget exceeds the following:
Budget Limits
USA - USD 15,000 
India - INR 1,00,000 
UK - GBP 4,000
Australia - AUD 3,000
Spain - EURO 4,000
Netherlands - EURO 4,000
Germany - EURO 4,000
Canada - CAD 2,500</t>
        </is>
      </c>
      <c r="C7" s="43" t="n"/>
      <c r="D7" s="43" t="n"/>
      <c r="E7" s="43" t="n"/>
      <c r="F7" s="43" t="n"/>
      <c r="G7" s="43" t="n"/>
      <c r="H7" s="43" t="n"/>
      <c r="I7" s="43" t="n"/>
      <c r="J7" s="43" t="n"/>
      <c r="K7" s="43" t="n"/>
      <c r="L7" s="43" t="n"/>
      <c r="M7" s="44" t="n"/>
    </row>
    <row r="8" ht="20.1" customHeight="1">
      <c r="B8" s="25" t="n"/>
      <c r="C8" s="26" t="n"/>
      <c r="D8" s="26" t="n"/>
      <c r="E8" s="26" t="n"/>
      <c r="F8" s="26" t="n"/>
      <c r="G8" s="26" t="n"/>
      <c r="H8" s="26" t="n"/>
      <c r="I8" s="26" t="n"/>
      <c r="J8" s="26" t="n"/>
      <c r="K8" s="26" t="n"/>
      <c r="L8" s="26" t="n"/>
      <c r="M8" s="26" t="n"/>
    </row>
    <row r="9">
      <c r="B9" s="40" t="inlineStr">
        <is>
          <t>Dataset</t>
        </is>
      </c>
      <c r="H9" s="19" t="n"/>
      <c r="I9" s="40" t="inlineStr">
        <is>
          <t>Reference Table</t>
        </is>
      </c>
      <c r="M9" s="26" t="n"/>
    </row>
    <row r="10" ht="43.2" customHeight="1">
      <c r="B10" s="27" t="inlineStr">
        <is>
          <t>Employee ID</t>
        </is>
      </c>
      <c r="C10" s="29" t="inlineStr">
        <is>
          <t>Country</t>
        </is>
      </c>
      <c r="D10" s="29" t="inlineStr">
        <is>
          <t>Activity Score Points</t>
        </is>
      </c>
      <c r="E10" s="28" t="inlineStr">
        <is>
          <t>Gift Type</t>
        </is>
      </c>
      <c r="F10" s="28" t="inlineStr">
        <is>
          <t>Eligibility %</t>
        </is>
      </c>
      <c r="G10" s="28" t="inlineStr">
        <is>
          <t>Due Date</t>
        </is>
      </c>
      <c r="I10" s="27" t="inlineStr">
        <is>
          <t>Country</t>
        </is>
      </c>
      <c r="J10" s="27" t="inlineStr">
        <is>
          <t>Local currency</t>
        </is>
      </c>
      <c r="K10" s="27" t="inlineStr">
        <is>
          <t>Exchange rate to USD</t>
        </is>
      </c>
      <c r="L10" s="29" t="inlineStr">
        <is>
          <t>Reward per point (Local Currency)</t>
        </is>
      </c>
    </row>
    <row r="11">
      <c r="B11" s="30" t="inlineStr">
        <is>
          <t>E001</t>
        </is>
      </c>
      <c r="C11" s="22" t="inlineStr">
        <is>
          <t>USA</t>
        </is>
      </c>
      <c r="D11" s="23" t="n">
        <v>120</v>
      </c>
      <c r="E11" s="23" t="inlineStr">
        <is>
          <t>Interview</t>
        </is>
      </c>
      <c r="F11" s="32" t="n">
        <v>0.75</v>
      </c>
      <c r="G11" s="34" t="n">
        <v>45735</v>
      </c>
      <c r="I11" s="22" t="inlineStr">
        <is>
          <t>USA</t>
        </is>
      </c>
      <c r="J11" s="22" t="inlineStr">
        <is>
          <t>USD</t>
        </is>
      </c>
      <c r="K11" s="23" t="n">
        <v>1</v>
      </c>
      <c r="L11" s="23" t="n">
        <v>5</v>
      </c>
    </row>
    <row r="12">
      <c r="B12" s="31" t="inlineStr">
        <is>
          <t>E002</t>
        </is>
      </c>
      <c r="C12" s="24" t="inlineStr">
        <is>
          <t>India</t>
        </is>
      </c>
      <c r="D12" s="16" t="n">
        <v>300</v>
      </c>
      <c r="E12" s="23" t="inlineStr">
        <is>
          <t>Survey</t>
        </is>
      </c>
      <c r="F12" s="32" t="n">
        <v>1</v>
      </c>
      <c r="G12" s="34" t="n">
        <v>45742</v>
      </c>
      <c r="I12" s="24" t="inlineStr">
        <is>
          <t>India</t>
        </is>
      </c>
      <c r="J12" s="22" t="inlineStr">
        <is>
          <t>INR</t>
        </is>
      </c>
      <c r="K12" s="23" t="n">
        <v>0.012</v>
      </c>
      <c r="L12" s="23" t="n">
        <v>40</v>
      </c>
    </row>
    <row r="13">
      <c r="B13" s="31" t="inlineStr">
        <is>
          <t>E003</t>
        </is>
      </c>
      <c r="C13" s="24" t="inlineStr">
        <is>
          <t>UK</t>
        </is>
      </c>
      <c r="D13" s="16" t="n">
        <v>180</v>
      </c>
      <c r="E13" s="23" t="inlineStr">
        <is>
          <t>Interview</t>
        </is>
      </c>
      <c r="F13" s="32" t="n">
        <v>1</v>
      </c>
      <c r="G13" s="34" t="n">
        <v>45742</v>
      </c>
      <c r="I13" s="24" t="inlineStr">
        <is>
          <t>UK</t>
        </is>
      </c>
      <c r="J13" s="22" t="inlineStr">
        <is>
          <t>GBP</t>
        </is>
      </c>
      <c r="K13" s="23" t="n">
        <v>1.25</v>
      </c>
      <c r="L13" s="23" t="n">
        <v>3.5</v>
      </c>
    </row>
    <row r="14">
      <c r="B14" s="31" t="inlineStr">
        <is>
          <t>E004</t>
        </is>
      </c>
      <c r="C14" s="24" t="inlineStr">
        <is>
          <t>Australia</t>
        </is>
      </c>
      <c r="D14" s="16" t="n">
        <v>100</v>
      </c>
      <c r="E14" s="23" t="inlineStr">
        <is>
          <t>Survey</t>
        </is>
      </c>
      <c r="F14" s="32" t="n">
        <v>1</v>
      </c>
      <c r="G14" s="34" t="n">
        <v>45747</v>
      </c>
      <c r="I14" s="24" t="inlineStr">
        <is>
          <t>Australia</t>
        </is>
      </c>
      <c r="J14" s="22" t="inlineStr">
        <is>
          <t>AUD</t>
        </is>
      </c>
      <c r="K14" s="23" t="n">
        <v>0.57</v>
      </c>
      <c r="L14" s="23" t="n">
        <v>4.5</v>
      </c>
    </row>
    <row r="15">
      <c r="B15" s="31" t="inlineStr">
        <is>
          <t>E005</t>
        </is>
      </c>
      <c r="C15" s="24" t="inlineStr">
        <is>
          <t>Spain</t>
        </is>
      </c>
      <c r="D15" s="16" t="n">
        <v>190</v>
      </c>
      <c r="E15" s="23" t="inlineStr">
        <is>
          <t>Survey</t>
        </is>
      </c>
      <c r="F15" s="32" t="n">
        <v>0.5</v>
      </c>
      <c r="G15" s="34" t="n">
        <v>45746</v>
      </c>
      <c r="I15" s="24" t="inlineStr">
        <is>
          <t>Spain</t>
        </is>
      </c>
      <c r="J15" s="22" t="inlineStr">
        <is>
          <t>EUR</t>
        </is>
      </c>
      <c r="K15" s="23" t="n">
        <v>1.08</v>
      </c>
      <c r="L15" s="23" t="n">
        <v>3</v>
      </c>
    </row>
    <row r="16">
      <c r="B16" s="31" t="inlineStr">
        <is>
          <t>E006</t>
        </is>
      </c>
      <c r="C16" s="24" t="inlineStr">
        <is>
          <t>Netherlands</t>
        </is>
      </c>
      <c r="D16" s="16" t="n">
        <v>210</v>
      </c>
      <c r="E16" s="23" t="inlineStr">
        <is>
          <t>Survey</t>
        </is>
      </c>
      <c r="F16" s="32" t="n">
        <v>0.25</v>
      </c>
      <c r="G16" s="34" t="n">
        <v>45745</v>
      </c>
      <c r="I16" s="24" t="inlineStr">
        <is>
          <t>Netherlands</t>
        </is>
      </c>
      <c r="J16" s="22" t="inlineStr">
        <is>
          <t>EUR</t>
        </is>
      </c>
      <c r="K16" s="23" t="n">
        <v>1.08</v>
      </c>
      <c r="L16" s="23" t="n">
        <v>3.5</v>
      </c>
    </row>
    <row r="17">
      <c r="B17" s="31" t="inlineStr">
        <is>
          <t>E007</t>
        </is>
      </c>
      <c r="C17" s="24" t="inlineStr">
        <is>
          <t>Germany</t>
        </is>
      </c>
      <c r="D17" s="16" t="n">
        <v>200</v>
      </c>
      <c r="E17" s="23" t="inlineStr">
        <is>
          <t>Interview</t>
        </is>
      </c>
      <c r="F17" s="32" t="n">
        <v>0.25</v>
      </c>
      <c r="G17" s="34" t="n">
        <v>45747</v>
      </c>
      <c r="I17" s="24" t="inlineStr">
        <is>
          <t>Germany</t>
        </is>
      </c>
      <c r="J17" s="22" t="inlineStr">
        <is>
          <t>EUR</t>
        </is>
      </c>
      <c r="K17" s="23" t="n">
        <v>1.08</v>
      </c>
      <c r="L17" s="23" t="n">
        <v>4</v>
      </c>
    </row>
    <row r="18">
      <c r="B18" s="31" t="inlineStr">
        <is>
          <t>E008</t>
        </is>
      </c>
      <c r="C18" s="24" t="inlineStr">
        <is>
          <t>Canada</t>
        </is>
      </c>
      <c r="D18" s="16" t="n">
        <v>90</v>
      </c>
      <c r="E18" s="23" t="inlineStr">
        <is>
          <t>Interview</t>
        </is>
      </c>
      <c r="F18" s="32" t="n">
        <v>1</v>
      </c>
      <c r="G18" s="34" t="n">
        <v>45742</v>
      </c>
      <c r="I18" s="24" t="inlineStr">
        <is>
          <t>Canada</t>
        </is>
      </c>
      <c r="J18" s="22" t="inlineStr">
        <is>
          <t>CAD</t>
        </is>
      </c>
      <c r="K18" s="23" t="n">
        <v>0.75</v>
      </c>
      <c r="L18" s="23" t="n">
        <v>4</v>
      </c>
    </row>
    <row r="19">
      <c r="B19" s="30" t="inlineStr">
        <is>
          <t>E009</t>
        </is>
      </c>
      <c r="C19" s="24" t="inlineStr">
        <is>
          <t>India</t>
        </is>
      </c>
      <c r="D19" s="23" t="n">
        <v>80</v>
      </c>
      <c r="E19" s="23" t="inlineStr">
        <is>
          <t>Survey</t>
        </is>
      </c>
      <c r="F19" s="32" t="n">
        <v>0.75</v>
      </c>
      <c r="G19" s="34" t="n">
        <v>45742</v>
      </c>
      <c r="I19" s="20" t="n"/>
      <c r="J19" s="20" t="n"/>
    </row>
    <row r="20">
      <c r="B20" s="30" t="inlineStr">
        <is>
          <t>E010</t>
        </is>
      </c>
      <c r="C20" s="24" t="inlineStr">
        <is>
          <t>UK</t>
        </is>
      </c>
      <c r="D20" s="23" t="n">
        <v>243</v>
      </c>
      <c r="E20" s="23" t="inlineStr">
        <is>
          <t>Interview</t>
        </is>
      </c>
      <c r="F20" s="32" t="n">
        <v>0.25</v>
      </c>
      <c r="G20" s="34" t="n">
        <v>45742</v>
      </c>
      <c r="H20" s="20" t="n"/>
      <c r="I20" s="20" t="n"/>
      <c r="J20" s="20" t="n"/>
    </row>
    <row r="21">
      <c r="B21" s="30" t="inlineStr">
        <is>
          <t>E011</t>
        </is>
      </c>
      <c r="C21" s="24" t="inlineStr">
        <is>
          <t>Australia</t>
        </is>
      </c>
      <c r="D21" s="23" t="n">
        <v>231</v>
      </c>
      <c r="E21" s="23" t="inlineStr">
        <is>
          <t>Interview</t>
        </is>
      </c>
      <c r="F21" s="32" t="n">
        <v>0.25</v>
      </c>
      <c r="G21" s="34" t="n">
        <v>45742</v>
      </c>
      <c r="H21" s="20" t="n"/>
      <c r="I21" s="20" t="n"/>
      <c r="J21" s="20" t="n"/>
    </row>
    <row r="22">
      <c r="B22" s="30" t="inlineStr">
        <is>
          <t>E012</t>
        </is>
      </c>
      <c r="C22" s="23" t="inlineStr">
        <is>
          <t>Australia</t>
        </is>
      </c>
      <c r="D22" s="23" t="n">
        <v>130</v>
      </c>
      <c r="E22" s="23" t="inlineStr">
        <is>
          <t>Interview</t>
        </is>
      </c>
      <c r="F22" s="32" t="n">
        <v>0.5</v>
      </c>
      <c r="G22" s="34" t="n">
        <v>45742</v>
      </c>
      <c r="H22" s="20" t="n"/>
      <c r="I22" s="20" t="n"/>
      <c r="J22" s="20" t="n"/>
    </row>
    <row r="23">
      <c r="B23" s="30" t="inlineStr">
        <is>
          <t>E013</t>
        </is>
      </c>
      <c r="C23" s="23" t="inlineStr">
        <is>
          <t>Spain</t>
        </is>
      </c>
      <c r="D23" s="23" t="n">
        <v>167</v>
      </c>
      <c r="E23" s="23" t="inlineStr">
        <is>
          <t>Survey</t>
        </is>
      </c>
      <c r="F23" s="32" t="n">
        <v>0.75</v>
      </c>
      <c r="G23" s="34" t="n">
        <v>45732</v>
      </c>
      <c r="H23" s="20" t="n"/>
      <c r="I23" s="20" t="n"/>
      <c r="J23" s="20" t="n"/>
    </row>
    <row r="24">
      <c r="B24" s="30" t="inlineStr">
        <is>
          <t>E014</t>
        </is>
      </c>
      <c r="C24" s="22" t="inlineStr">
        <is>
          <t>USA</t>
        </is>
      </c>
      <c r="D24" s="23" t="n">
        <v>103</v>
      </c>
      <c r="E24" s="23" t="inlineStr">
        <is>
          <t>Survey</t>
        </is>
      </c>
      <c r="F24" s="32" t="n">
        <v>0.5</v>
      </c>
      <c r="G24" s="34" t="n">
        <v>45732</v>
      </c>
      <c r="H24" s="20" t="n"/>
      <c r="I24" s="20" t="n"/>
      <c r="J24" s="20" t="n"/>
    </row>
    <row r="25">
      <c r="B25" s="30" t="inlineStr">
        <is>
          <t>E015</t>
        </is>
      </c>
      <c r="C25" s="24" t="inlineStr">
        <is>
          <t>India</t>
        </is>
      </c>
      <c r="D25" s="23" t="n">
        <v>180</v>
      </c>
      <c r="E25" s="23" t="inlineStr">
        <is>
          <t>Survey</t>
        </is>
      </c>
      <c r="F25" s="32" t="n">
        <v>0.5</v>
      </c>
      <c r="G25" s="34" t="n">
        <v>45732</v>
      </c>
      <c r="H25" s="20" t="n"/>
      <c r="I25" s="20" t="n"/>
      <c r="J25" s="20" t="n"/>
    </row>
    <row r="26">
      <c r="B26" s="30" t="inlineStr">
        <is>
          <t>E016</t>
        </is>
      </c>
      <c r="C26" s="24" t="inlineStr">
        <is>
          <t>India</t>
        </is>
      </c>
      <c r="D26" s="23" t="n">
        <v>105</v>
      </c>
      <c r="E26" s="23" t="inlineStr">
        <is>
          <t>Interview</t>
        </is>
      </c>
      <c r="F26" s="32" t="n">
        <v>1</v>
      </c>
      <c r="G26" s="34" t="n">
        <v>45732</v>
      </c>
      <c r="H26" s="20" t="n"/>
      <c r="I26" s="20" t="n"/>
      <c r="J26" s="20" t="n"/>
    </row>
    <row r="27">
      <c r="B27" s="30" t="inlineStr">
        <is>
          <t>E017</t>
        </is>
      </c>
      <c r="C27" s="24" t="inlineStr">
        <is>
          <t>UK</t>
        </is>
      </c>
      <c r="D27" s="23" t="n">
        <v>117</v>
      </c>
      <c r="E27" s="23" t="inlineStr">
        <is>
          <t>Survey</t>
        </is>
      </c>
      <c r="F27" s="32" t="n">
        <v>0.75</v>
      </c>
      <c r="G27" s="34" t="n">
        <v>45732</v>
      </c>
      <c r="H27" s="20" t="n"/>
      <c r="I27" s="20" t="n"/>
      <c r="J27" s="20" t="n"/>
    </row>
    <row r="28">
      <c r="B28" s="30" t="inlineStr">
        <is>
          <t>E018</t>
        </is>
      </c>
      <c r="C28" s="24" t="inlineStr">
        <is>
          <t>Australia</t>
        </is>
      </c>
      <c r="D28" s="23" t="n">
        <v>120</v>
      </c>
      <c r="E28" s="23" t="inlineStr">
        <is>
          <t>Interview</t>
        </is>
      </c>
      <c r="F28" s="32" t="n">
        <v>0.75</v>
      </c>
      <c r="G28" s="34" t="n">
        <v>45742</v>
      </c>
      <c r="H28" s="20" t="n"/>
      <c r="I28" s="20" t="n"/>
      <c r="J28" s="20" t="n"/>
    </row>
    <row r="29">
      <c r="B29" s="30" t="inlineStr">
        <is>
          <t>E019</t>
        </is>
      </c>
      <c r="C29" s="23" t="inlineStr">
        <is>
          <t>Germany</t>
        </is>
      </c>
      <c r="D29" s="23" t="n">
        <v>235</v>
      </c>
      <c r="E29" s="23" t="inlineStr">
        <is>
          <t>Survey</t>
        </is>
      </c>
      <c r="F29" s="32" t="n">
        <v>1</v>
      </c>
      <c r="G29" s="34" t="n">
        <v>45742</v>
      </c>
      <c r="H29" s="20" t="n"/>
      <c r="I29" s="20" t="n"/>
      <c r="J29" s="20" t="n"/>
    </row>
    <row r="30">
      <c r="B30" s="30" t="inlineStr">
        <is>
          <t>E020</t>
        </is>
      </c>
      <c r="C30" s="24" t="inlineStr">
        <is>
          <t>Netherlands</t>
        </is>
      </c>
      <c r="D30" s="23" t="n">
        <v>172</v>
      </c>
      <c r="E30" s="23" t="inlineStr">
        <is>
          <t>Survey</t>
        </is>
      </c>
      <c r="F30" s="32" t="n">
        <v>1</v>
      </c>
      <c r="G30" s="34" t="n">
        <v>45738</v>
      </c>
      <c r="H30" s="20" t="n"/>
      <c r="I30" s="20" t="n"/>
      <c r="J30" s="20" t="n"/>
    </row>
    <row r="31">
      <c r="B31" s="30" t="inlineStr">
        <is>
          <t>E021</t>
        </is>
      </c>
      <c r="C31" s="16" t="inlineStr">
        <is>
          <t>USA</t>
        </is>
      </c>
      <c r="D31" s="23" t="n">
        <v>233</v>
      </c>
      <c r="E31" s="23" t="inlineStr">
        <is>
          <t>Survey</t>
        </is>
      </c>
      <c r="F31" s="32" t="n">
        <v>1</v>
      </c>
      <c r="G31" s="34" t="n">
        <v>45738</v>
      </c>
      <c r="H31" s="20" t="n"/>
      <c r="I31" s="20" t="n"/>
      <c r="J31" s="20" t="n"/>
    </row>
    <row r="32">
      <c r="B32" s="30" t="inlineStr">
        <is>
          <t>E022</t>
        </is>
      </c>
      <c r="C32" s="24" t="inlineStr">
        <is>
          <t>Netherlands</t>
        </is>
      </c>
      <c r="D32" s="23" t="n">
        <v>84</v>
      </c>
      <c r="E32" s="23" t="inlineStr">
        <is>
          <t>Interview</t>
        </is>
      </c>
      <c r="F32" s="32" t="n">
        <v>0.5</v>
      </c>
      <c r="G32" s="34" t="n">
        <v>45738</v>
      </c>
      <c r="H32" s="20" t="n"/>
      <c r="I32" s="20" t="n"/>
      <c r="J32" s="20" t="n"/>
    </row>
    <row r="33">
      <c r="B33" s="30" t="inlineStr">
        <is>
          <t>E023</t>
        </is>
      </c>
      <c r="C33" s="16" t="inlineStr">
        <is>
          <t>USA</t>
        </is>
      </c>
      <c r="D33" s="23" t="n">
        <v>156</v>
      </c>
      <c r="E33" s="23" t="inlineStr">
        <is>
          <t>Interview</t>
        </is>
      </c>
      <c r="F33" s="32" t="n">
        <v>0.25</v>
      </c>
      <c r="G33" s="34" t="n">
        <v>45738</v>
      </c>
      <c r="H33" s="20" t="n"/>
      <c r="I33" s="20" t="n"/>
      <c r="J33" s="20" t="n"/>
    </row>
    <row r="34">
      <c r="B34" s="30" t="inlineStr">
        <is>
          <t>E024</t>
        </is>
      </c>
      <c r="C34" s="23" t="inlineStr">
        <is>
          <t>Netherlands</t>
        </is>
      </c>
      <c r="D34" s="23" t="n">
        <v>165</v>
      </c>
      <c r="E34" s="23" t="inlineStr">
        <is>
          <t>Survey</t>
        </is>
      </c>
      <c r="F34" s="32" t="n">
        <v>0.25</v>
      </c>
      <c r="G34" s="34" t="n">
        <v>45738</v>
      </c>
      <c r="H34" s="20" t="n"/>
      <c r="I34" s="20" t="n"/>
      <c r="J34" s="20" t="n"/>
    </row>
    <row r="35">
      <c r="B35" s="30" t="inlineStr">
        <is>
          <t>E025</t>
        </is>
      </c>
      <c r="C35" s="23" t="inlineStr">
        <is>
          <t>Spain</t>
        </is>
      </c>
      <c r="D35" s="23" t="n">
        <v>214</v>
      </c>
      <c r="E35" s="23" t="inlineStr">
        <is>
          <t>Interview</t>
        </is>
      </c>
      <c r="F35" s="32" t="n">
        <v>1</v>
      </c>
      <c r="G35" s="34" t="n">
        <v>45738</v>
      </c>
      <c r="H35" s="20" t="n"/>
      <c r="I35" s="20" t="n"/>
      <c r="J35" s="20" t="n"/>
    </row>
    <row r="36">
      <c r="B36" s="30" t="inlineStr">
        <is>
          <t>E026</t>
        </is>
      </c>
      <c r="C36" s="24" t="inlineStr">
        <is>
          <t>Germany</t>
        </is>
      </c>
      <c r="D36" s="23" t="n">
        <v>230</v>
      </c>
      <c r="E36" s="23" t="inlineStr">
        <is>
          <t>Interview</t>
        </is>
      </c>
      <c r="F36" s="32" t="n">
        <v>0.75</v>
      </c>
      <c r="G36" s="34" t="n">
        <v>45738</v>
      </c>
      <c r="H36" s="20" t="n"/>
      <c r="I36" s="20" t="n"/>
      <c r="J36" s="20" t="n"/>
    </row>
    <row r="37">
      <c r="B37" s="30" t="inlineStr">
        <is>
          <t>E027</t>
        </is>
      </c>
      <c r="C37" s="23" t="inlineStr">
        <is>
          <t>Australia</t>
        </is>
      </c>
      <c r="D37" s="23" t="n">
        <v>171</v>
      </c>
      <c r="E37" s="23" t="inlineStr">
        <is>
          <t>Interview</t>
        </is>
      </c>
      <c r="F37" s="32" t="n">
        <v>0.25</v>
      </c>
      <c r="G37" s="34" t="n">
        <v>45738</v>
      </c>
      <c r="H37" s="20" t="n"/>
      <c r="I37" s="20" t="n"/>
      <c r="J37" s="20" t="n"/>
    </row>
    <row r="38">
      <c r="B38" s="30" t="inlineStr">
        <is>
          <t>E028</t>
        </is>
      </c>
      <c r="C38" s="24" t="inlineStr">
        <is>
          <t>Germany</t>
        </is>
      </c>
      <c r="D38" s="23" t="n">
        <v>134</v>
      </c>
      <c r="E38" s="23" t="inlineStr">
        <is>
          <t>Survey</t>
        </is>
      </c>
      <c r="F38" s="32" t="n">
        <v>0.25</v>
      </c>
      <c r="G38" s="34" t="n">
        <v>45747</v>
      </c>
      <c r="H38" s="20" t="n"/>
      <c r="I38" s="20" t="n"/>
      <c r="J38" s="20" t="n"/>
    </row>
    <row r="39">
      <c r="B39" s="30" t="inlineStr">
        <is>
          <t>E029</t>
        </is>
      </c>
      <c r="C39" s="24" t="inlineStr">
        <is>
          <t>Netherlands</t>
        </is>
      </c>
      <c r="D39" s="23" t="n">
        <v>194</v>
      </c>
      <c r="E39" s="23" t="inlineStr">
        <is>
          <t>Survey</t>
        </is>
      </c>
      <c r="F39" s="32" t="n">
        <v>0.5</v>
      </c>
      <c r="G39" s="34" t="n">
        <v>45747</v>
      </c>
      <c r="H39" s="20" t="n"/>
      <c r="I39" s="20" t="n"/>
      <c r="J39" s="20" t="n"/>
    </row>
    <row r="40">
      <c r="B40" s="30" t="inlineStr">
        <is>
          <t>E030</t>
        </is>
      </c>
      <c r="C40" s="22" t="inlineStr">
        <is>
          <t>USA</t>
        </is>
      </c>
      <c r="D40" s="23" t="n">
        <v>92</v>
      </c>
      <c r="E40" s="23" t="inlineStr">
        <is>
          <t>Survey</t>
        </is>
      </c>
      <c r="F40" s="32" t="n">
        <v>0.75</v>
      </c>
      <c r="G40" s="34" t="n">
        <v>45747</v>
      </c>
      <c r="H40" s="20" t="n"/>
      <c r="I40" s="20" t="n"/>
      <c r="J40" s="20" t="n"/>
    </row>
    <row r="41">
      <c r="B41" s="30" t="inlineStr">
        <is>
          <t>E031</t>
        </is>
      </c>
      <c r="C41" s="24" t="inlineStr">
        <is>
          <t>India</t>
        </is>
      </c>
      <c r="D41" s="23" t="n">
        <v>183</v>
      </c>
      <c r="E41" s="23" t="inlineStr">
        <is>
          <t>Interview</t>
        </is>
      </c>
      <c r="F41" s="32" t="n">
        <v>0.5</v>
      </c>
      <c r="G41" s="34" t="n">
        <v>45747</v>
      </c>
      <c r="H41" s="20" t="n"/>
      <c r="I41" s="20" t="n"/>
      <c r="J41" s="20" t="n"/>
    </row>
    <row r="42">
      <c r="B42" s="30" t="inlineStr">
        <is>
          <t>E032</t>
        </is>
      </c>
      <c r="C42" s="24" t="inlineStr">
        <is>
          <t>Germany</t>
        </is>
      </c>
      <c r="D42" s="23" t="n">
        <v>180</v>
      </c>
      <c r="E42" s="23" t="inlineStr">
        <is>
          <t>Interview</t>
        </is>
      </c>
      <c r="F42" s="32" t="n">
        <v>0.5</v>
      </c>
      <c r="G42" s="34" t="n">
        <v>45747</v>
      </c>
      <c r="H42" s="20" t="n"/>
      <c r="I42" s="20" t="n"/>
      <c r="J42" s="20" t="n"/>
    </row>
    <row r="43">
      <c r="B43" s="30" t="inlineStr">
        <is>
          <t>E033</t>
        </is>
      </c>
      <c r="C43" s="16" t="inlineStr">
        <is>
          <t>Canada</t>
        </is>
      </c>
      <c r="D43" s="23" t="n">
        <v>89</v>
      </c>
      <c r="E43" s="23" t="inlineStr">
        <is>
          <t>Survey</t>
        </is>
      </c>
      <c r="F43" s="32" t="n">
        <v>1</v>
      </c>
      <c r="G43" s="34" t="n">
        <v>45747</v>
      </c>
      <c r="H43" s="20" t="n"/>
      <c r="I43" s="20" t="n"/>
      <c r="J43" s="20" t="n"/>
    </row>
    <row r="44">
      <c r="B44" s="30" t="inlineStr">
        <is>
          <t>E034</t>
        </is>
      </c>
      <c r="C44" s="24" t="inlineStr">
        <is>
          <t>Netherlands</t>
        </is>
      </c>
      <c r="D44" s="23" t="n">
        <v>136</v>
      </c>
      <c r="E44" s="23" t="inlineStr">
        <is>
          <t>Interview</t>
        </is>
      </c>
      <c r="F44" s="32" t="n">
        <v>0.75</v>
      </c>
      <c r="G44" s="34" t="n">
        <v>45747</v>
      </c>
      <c r="H44" s="20" t="n"/>
      <c r="I44" s="20" t="n"/>
      <c r="J44" s="20" t="n"/>
    </row>
    <row r="45">
      <c r="B45" s="30" t="inlineStr">
        <is>
          <t>E035</t>
        </is>
      </c>
      <c r="C45" s="24" t="inlineStr">
        <is>
          <t>UK</t>
        </is>
      </c>
      <c r="D45" s="23" t="n">
        <v>197</v>
      </c>
      <c r="E45" s="23" t="inlineStr">
        <is>
          <t>Survey</t>
        </is>
      </c>
      <c r="F45" s="32" t="n">
        <v>0.75</v>
      </c>
      <c r="G45" s="34" t="n">
        <v>45747</v>
      </c>
      <c r="H45" s="20" t="n"/>
      <c r="I45" s="20" t="n"/>
      <c r="J45" s="20" t="n"/>
    </row>
    <row r="46">
      <c r="B46" s="30" t="inlineStr">
        <is>
          <t>E036</t>
        </is>
      </c>
      <c r="C46" s="24" t="inlineStr">
        <is>
          <t>Australia</t>
        </is>
      </c>
      <c r="D46" s="23" t="n">
        <v>86</v>
      </c>
      <c r="E46" s="23" t="inlineStr">
        <is>
          <t>Survey</t>
        </is>
      </c>
      <c r="F46" s="32" t="n">
        <v>1</v>
      </c>
      <c r="G46" s="34" t="n">
        <v>45747</v>
      </c>
      <c r="H46" s="20" t="n"/>
      <c r="I46" s="20" t="n"/>
      <c r="J46" s="20" t="n"/>
    </row>
    <row r="47">
      <c r="B47" s="30" t="inlineStr">
        <is>
          <t>E037</t>
        </is>
      </c>
      <c r="C47" s="24" t="inlineStr">
        <is>
          <t>Germany</t>
        </is>
      </c>
      <c r="D47" s="23" t="n">
        <v>143</v>
      </c>
      <c r="E47" s="23" t="inlineStr">
        <is>
          <t>Survey</t>
        </is>
      </c>
      <c r="F47" s="32" t="n">
        <v>1</v>
      </c>
      <c r="G47" s="34" t="n">
        <v>45747</v>
      </c>
      <c r="H47" s="20" t="n"/>
      <c r="I47" s="20" t="n"/>
      <c r="J47" s="20" t="n"/>
    </row>
    <row r="48">
      <c r="B48" s="30" t="inlineStr">
        <is>
          <t>E038</t>
        </is>
      </c>
      <c r="C48" s="16" t="inlineStr">
        <is>
          <t>Canada</t>
        </is>
      </c>
      <c r="D48" s="23" t="n">
        <v>249</v>
      </c>
      <c r="E48" s="23" t="inlineStr">
        <is>
          <t>Interview</t>
        </is>
      </c>
      <c r="F48" s="32" t="n">
        <v>1</v>
      </c>
      <c r="G48" s="34" t="n">
        <v>45747</v>
      </c>
      <c r="H48" s="20" t="n"/>
      <c r="I48" s="20" t="n"/>
      <c r="J48" s="20" t="n"/>
    </row>
    <row r="49">
      <c r="B49" s="30" t="inlineStr">
        <is>
          <t>E039</t>
        </is>
      </c>
      <c r="C49" s="24" t="inlineStr">
        <is>
          <t>Germany</t>
        </is>
      </c>
      <c r="D49" s="23" t="n">
        <v>203</v>
      </c>
      <c r="E49" s="23" t="inlineStr">
        <is>
          <t>Interview</t>
        </is>
      </c>
      <c r="F49" s="32" t="n">
        <v>0.5</v>
      </c>
      <c r="G49" s="34" t="n">
        <v>45747</v>
      </c>
      <c r="H49" s="20" t="n"/>
      <c r="I49" s="20" t="n"/>
      <c r="J49" s="20" t="n"/>
    </row>
    <row r="50">
      <c r="B50" s="30" t="inlineStr">
        <is>
          <t>E040</t>
        </is>
      </c>
      <c r="C50" s="16" t="inlineStr">
        <is>
          <t>Canada</t>
        </is>
      </c>
      <c r="D50" s="23" t="n">
        <v>119</v>
      </c>
      <c r="E50" s="23" t="inlineStr">
        <is>
          <t>Survey</t>
        </is>
      </c>
      <c r="F50" s="32" t="n">
        <v>0.25</v>
      </c>
      <c r="G50" s="34" t="n">
        <v>45747</v>
      </c>
      <c r="H50" s="20" t="n"/>
      <c r="I50" s="20" t="n"/>
      <c r="J50" s="20" t="n"/>
    </row>
    <row r="51">
      <c r="B51" s="30" t="inlineStr">
        <is>
          <t>E041</t>
        </is>
      </c>
      <c r="C51" s="24" t="inlineStr">
        <is>
          <t>Netherlands</t>
        </is>
      </c>
      <c r="D51" s="23" t="n">
        <v>128</v>
      </c>
      <c r="E51" s="23" t="inlineStr">
        <is>
          <t>Interview</t>
        </is>
      </c>
      <c r="F51" s="32" t="n">
        <v>0.25</v>
      </c>
      <c r="G51" s="34" t="n">
        <v>45747</v>
      </c>
      <c r="H51" s="20" t="n"/>
      <c r="I51" s="20" t="n"/>
      <c r="J51" s="20" t="n"/>
    </row>
    <row r="52">
      <c r="B52" s="30" t="inlineStr">
        <is>
          <t>E042</t>
        </is>
      </c>
      <c r="C52" s="24" t="inlineStr">
        <is>
          <t>UK</t>
        </is>
      </c>
      <c r="D52" s="23" t="n">
        <v>202</v>
      </c>
      <c r="E52" s="23" t="inlineStr">
        <is>
          <t>Interview</t>
        </is>
      </c>
      <c r="F52" s="32" t="n">
        <v>1</v>
      </c>
      <c r="G52" s="34" t="n">
        <v>45747</v>
      </c>
      <c r="H52" s="20" t="n"/>
      <c r="I52" s="20" t="n"/>
      <c r="J52" s="20" t="n"/>
    </row>
    <row r="53">
      <c r="B53" s="30" t="inlineStr">
        <is>
          <t>E043</t>
        </is>
      </c>
      <c r="C53" s="24" t="inlineStr">
        <is>
          <t>Australia</t>
        </is>
      </c>
      <c r="D53" s="23" t="n">
        <v>213</v>
      </c>
      <c r="E53" s="23" t="inlineStr">
        <is>
          <t>Interview</t>
        </is>
      </c>
      <c r="F53" s="32" t="n">
        <v>0.75</v>
      </c>
      <c r="G53" s="34" t="n">
        <v>45747</v>
      </c>
      <c r="H53" s="20" t="n"/>
      <c r="I53" s="20" t="n"/>
      <c r="J53" s="20" t="n"/>
    </row>
    <row r="54">
      <c r="B54" s="30" t="inlineStr">
        <is>
          <t>E044</t>
        </is>
      </c>
      <c r="C54" s="24" t="inlineStr">
        <is>
          <t>Germany</t>
        </is>
      </c>
      <c r="D54" s="23" t="n">
        <v>242</v>
      </c>
      <c r="E54" s="23" t="inlineStr">
        <is>
          <t>Survey</t>
        </is>
      </c>
      <c r="F54" s="32" t="n">
        <v>0.25</v>
      </c>
      <c r="G54" s="34" t="n">
        <v>45747</v>
      </c>
      <c r="H54" s="20" t="n"/>
      <c r="I54" s="20" t="n"/>
      <c r="J54" s="20" t="n"/>
    </row>
    <row r="55">
      <c r="B55" s="30" t="inlineStr">
        <is>
          <t>E045</t>
        </is>
      </c>
      <c r="C55" s="22" t="inlineStr">
        <is>
          <t>USA</t>
        </is>
      </c>
      <c r="D55" s="23" t="n">
        <v>95</v>
      </c>
      <c r="E55" s="23" t="inlineStr">
        <is>
          <t>Survey</t>
        </is>
      </c>
      <c r="F55" s="32" t="n">
        <v>0.25</v>
      </c>
      <c r="G55" s="34" t="n">
        <v>45747</v>
      </c>
      <c r="H55" s="20" t="n"/>
      <c r="I55" s="20" t="n"/>
      <c r="J55" s="20" t="n"/>
    </row>
    <row r="56">
      <c r="B56" s="30" t="inlineStr">
        <is>
          <t>E046</t>
        </is>
      </c>
      <c r="C56" s="24" t="inlineStr">
        <is>
          <t>India</t>
        </is>
      </c>
      <c r="D56" s="23" t="n">
        <v>160</v>
      </c>
      <c r="E56" s="23" t="inlineStr">
        <is>
          <t>Survey</t>
        </is>
      </c>
      <c r="F56" s="32" t="n">
        <v>0.5</v>
      </c>
      <c r="G56" s="34" t="n">
        <v>45747</v>
      </c>
      <c r="H56" s="20" t="n"/>
      <c r="I56" s="20" t="n"/>
      <c r="J56" s="20" t="n"/>
    </row>
    <row r="57">
      <c r="B57" s="30" t="inlineStr">
        <is>
          <t>E047</t>
        </is>
      </c>
      <c r="C57" s="24" t="inlineStr">
        <is>
          <t>UK</t>
        </is>
      </c>
      <c r="D57" s="23" t="n">
        <v>147</v>
      </c>
      <c r="E57" s="23" t="inlineStr">
        <is>
          <t>Interview</t>
        </is>
      </c>
      <c r="F57" s="32" t="n">
        <v>0.75</v>
      </c>
      <c r="G57" s="34" t="n">
        <v>45747</v>
      </c>
      <c r="H57" s="20" t="n"/>
      <c r="I57" s="20" t="n"/>
      <c r="J57" s="20" t="n"/>
    </row>
    <row r="58">
      <c r="B58" s="30" t="inlineStr">
        <is>
          <t>E048</t>
        </is>
      </c>
      <c r="C58" s="24" t="inlineStr">
        <is>
          <t>Australia</t>
        </is>
      </c>
      <c r="D58" s="23" t="n">
        <v>214</v>
      </c>
      <c r="E58" s="23" t="inlineStr">
        <is>
          <t>Interview</t>
        </is>
      </c>
      <c r="F58" s="32" t="n">
        <v>0.5</v>
      </c>
      <c r="G58" s="34" t="n">
        <v>45747</v>
      </c>
      <c r="H58" s="20" t="n"/>
      <c r="I58" s="20" t="n"/>
      <c r="J58" s="20" t="n"/>
    </row>
    <row r="59">
      <c r="B59" s="30" t="inlineStr">
        <is>
          <t>E049</t>
        </is>
      </c>
      <c r="C59" s="24" t="inlineStr">
        <is>
          <t>Australia</t>
        </is>
      </c>
      <c r="D59" s="23" t="n">
        <v>117</v>
      </c>
      <c r="E59" s="23" t="inlineStr">
        <is>
          <t>Survey</t>
        </is>
      </c>
      <c r="F59" s="32" t="n">
        <v>0.5</v>
      </c>
      <c r="G59" s="34" t="n">
        <v>45747</v>
      </c>
      <c r="H59" s="20" t="n"/>
      <c r="I59" s="20" t="n"/>
      <c r="J59" s="20" t="n"/>
    </row>
    <row r="60">
      <c r="B60" s="30" t="inlineStr">
        <is>
          <t>E050</t>
        </is>
      </c>
      <c r="C60" s="24" t="inlineStr">
        <is>
          <t>Spain</t>
        </is>
      </c>
      <c r="D60" s="23" t="n">
        <v>181</v>
      </c>
      <c r="E60" s="23" t="inlineStr">
        <is>
          <t>Interview</t>
        </is>
      </c>
      <c r="F60" s="32" t="n">
        <v>1</v>
      </c>
      <c r="G60" s="34" t="n">
        <v>45747</v>
      </c>
      <c r="H60" s="20" t="n"/>
      <c r="I60" s="20" t="n"/>
      <c r="J60" s="20" t="n"/>
    </row>
    <row r="61">
      <c r="B61" s="30" t="inlineStr">
        <is>
          <t>E051</t>
        </is>
      </c>
      <c r="C61" s="24" t="inlineStr">
        <is>
          <t>Netherlands</t>
        </is>
      </c>
      <c r="D61" s="23" t="n">
        <v>150</v>
      </c>
      <c r="E61" s="23" t="inlineStr">
        <is>
          <t>Survey</t>
        </is>
      </c>
      <c r="F61" s="32" t="n">
        <v>0.75</v>
      </c>
      <c r="G61" s="34" t="n">
        <v>45742</v>
      </c>
      <c r="H61" s="20" t="n"/>
      <c r="I61" s="20" t="n"/>
      <c r="J61" s="20" t="n"/>
    </row>
    <row r="62">
      <c r="B62" s="30" t="inlineStr">
        <is>
          <t>E052</t>
        </is>
      </c>
      <c r="C62" s="22" t="inlineStr">
        <is>
          <t>USA</t>
        </is>
      </c>
      <c r="D62" s="23" t="n">
        <v>96</v>
      </c>
      <c r="E62" s="23" t="inlineStr">
        <is>
          <t>Survey</t>
        </is>
      </c>
      <c r="F62" s="32" t="n">
        <v>0.75</v>
      </c>
      <c r="G62" s="34" t="n">
        <v>45742</v>
      </c>
      <c r="H62" s="20" t="n"/>
      <c r="I62" s="20" t="n"/>
      <c r="J62" s="20" t="n"/>
    </row>
    <row r="63">
      <c r="B63" s="30" t="inlineStr">
        <is>
          <t>E053</t>
        </is>
      </c>
      <c r="C63" s="24" t="inlineStr">
        <is>
          <t>India</t>
        </is>
      </c>
      <c r="D63" s="23" t="n">
        <v>206</v>
      </c>
      <c r="E63" s="23" t="inlineStr">
        <is>
          <t>Survey</t>
        </is>
      </c>
      <c r="F63" s="32" t="n">
        <v>1</v>
      </c>
      <c r="G63" s="34" t="n">
        <v>45742</v>
      </c>
      <c r="H63" s="20" t="n"/>
      <c r="I63" s="20" t="n"/>
      <c r="J63" s="20" t="n"/>
    </row>
    <row r="64">
      <c r="B64" s="30" t="inlineStr">
        <is>
          <t>E054</t>
        </is>
      </c>
      <c r="C64" s="24" t="inlineStr">
        <is>
          <t>UK</t>
        </is>
      </c>
      <c r="D64" s="23" t="n">
        <v>179</v>
      </c>
      <c r="E64" s="23" t="inlineStr">
        <is>
          <t>Interview</t>
        </is>
      </c>
      <c r="F64" s="32" t="n">
        <v>1</v>
      </c>
      <c r="G64" s="34" t="n">
        <v>45742</v>
      </c>
      <c r="H64" s="20" t="n"/>
      <c r="I64" s="20" t="n"/>
      <c r="J64" s="20" t="n"/>
    </row>
    <row r="65">
      <c r="B65" s="30" t="inlineStr">
        <is>
          <t>E055</t>
        </is>
      </c>
      <c r="C65" s="24" t="inlineStr">
        <is>
          <t>Australia</t>
        </is>
      </c>
      <c r="D65" s="23" t="n">
        <v>124</v>
      </c>
      <c r="E65" s="23" t="inlineStr">
        <is>
          <t>Interview</t>
        </is>
      </c>
      <c r="F65" s="32" t="n">
        <v>1</v>
      </c>
      <c r="G65" s="34" t="n">
        <v>45742</v>
      </c>
      <c r="H65" s="20" t="n"/>
      <c r="I65" s="20" t="n"/>
      <c r="J65" s="20" t="n"/>
    </row>
    <row r="66">
      <c r="B66" s="30" t="inlineStr">
        <is>
          <t>E056</t>
        </is>
      </c>
      <c r="C66" s="24" t="inlineStr">
        <is>
          <t>Spain</t>
        </is>
      </c>
      <c r="D66" s="23" t="n">
        <v>145</v>
      </c>
      <c r="E66" s="23" t="inlineStr">
        <is>
          <t>Survey</t>
        </is>
      </c>
      <c r="F66" s="32" t="n">
        <v>0.5</v>
      </c>
      <c r="G66" s="34" t="n">
        <v>45742</v>
      </c>
      <c r="H66" s="20" t="n"/>
      <c r="I66" s="20" t="n"/>
      <c r="J66" s="20" t="n"/>
    </row>
    <row r="67">
      <c r="B67" s="30" t="inlineStr">
        <is>
          <t>E057</t>
        </is>
      </c>
      <c r="C67" s="24" t="inlineStr">
        <is>
          <t>Netherlands</t>
        </is>
      </c>
      <c r="D67" s="23" t="n">
        <v>130</v>
      </c>
      <c r="E67" s="23" t="inlineStr">
        <is>
          <t>Interview</t>
        </is>
      </c>
      <c r="F67" s="32" t="n">
        <v>0.25</v>
      </c>
      <c r="G67" s="34" t="n">
        <v>45742</v>
      </c>
      <c r="H67" s="20" t="n"/>
      <c r="I67" s="20" t="n"/>
      <c r="J67" s="20" t="n"/>
    </row>
    <row r="68">
      <c r="B68" s="30" t="inlineStr">
        <is>
          <t>E058</t>
        </is>
      </c>
      <c r="C68" s="24" t="inlineStr">
        <is>
          <t>Germany</t>
        </is>
      </c>
      <c r="D68" s="23" t="n">
        <v>171</v>
      </c>
      <c r="E68" s="23" t="inlineStr">
        <is>
          <t>Interview</t>
        </is>
      </c>
      <c r="F68" s="32" t="n">
        <v>0.25</v>
      </c>
      <c r="G68" s="34" t="n">
        <v>45742</v>
      </c>
      <c r="H68" s="20" t="n"/>
      <c r="I68" s="20" t="n"/>
      <c r="J68" s="20" t="n"/>
    </row>
    <row r="69">
      <c r="B69" s="30" t="inlineStr">
        <is>
          <t>E059</t>
        </is>
      </c>
      <c r="C69" s="24" t="inlineStr">
        <is>
          <t>Canada</t>
        </is>
      </c>
      <c r="D69" s="23" t="n">
        <v>105</v>
      </c>
      <c r="E69" s="23" t="inlineStr">
        <is>
          <t>Interview</t>
        </is>
      </c>
      <c r="F69" s="32" t="n">
        <v>1</v>
      </c>
      <c r="G69" s="34" t="n">
        <v>45742</v>
      </c>
      <c r="H69" s="20" t="n"/>
      <c r="I69" s="20" t="n"/>
      <c r="J69" s="20" t="n"/>
    </row>
    <row r="70">
      <c r="B70" s="30" t="inlineStr">
        <is>
          <t>E060</t>
        </is>
      </c>
      <c r="C70" s="24" t="inlineStr">
        <is>
          <t>UK</t>
        </is>
      </c>
      <c r="D70" s="23" t="n">
        <v>219</v>
      </c>
      <c r="E70" s="23" t="inlineStr">
        <is>
          <t>Survey</t>
        </is>
      </c>
      <c r="F70" s="32" t="n">
        <v>0.75</v>
      </c>
      <c r="G70" s="34" t="n">
        <v>45742</v>
      </c>
      <c r="H70" s="20" t="n"/>
      <c r="I70" s="20" t="n"/>
      <c r="J70" s="20" t="n"/>
    </row>
    <row r="71">
      <c r="B71" s="30" t="inlineStr">
        <is>
          <t>E061</t>
        </is>
      </c>
      <c r="C71" s="24" t="inlineStr">
        <is>
          <t>Australia</t>
        </is>
      </c>
      <c r="D71" s="23" t="n">
        <v>163</v>
      </c>
      <c r="E71" s="23" t="inlineStr">
        <is>
          <t>Survey</t>
        </is>
      </c>
      <c r="F71" s="32" t="n">
        <v>0.25</v>
      </c>
      <c r="G71" s="34" t="n">
        <v>45742</v>
      </c>
      <c r="H71" s="20" t="n"/>
      <c r="I71" s="20" t="n"/>
      <c r="J71" s="20" t="n"/>
    </row>
    <row r="72">
      <c r="B72" s="30" t="inlineStr">
        <is>
          <t>E062</t>
        </is>
      </c>
      <c r="C72" s="24" t="inlineStr">
        <is>
          <t>UK</t>
        </is>
      </c>
      <c r="D72" s="23" t="n">
        <v>96</v>
      </c>
      <c r="E72" s="23" t="inlineStr">
        <is>
          <t>Survey</t>
        </is>
      </c>
      <c r="F72" s="32" t="n">
        <v>0.25</v>
      </c>
      <c r="G72" s="34" t="n">
        <v>45742</v>
      </c>
      <c r="H72" s="20" t="n"/>
      <c r="I72" s="20" t="n"/>
      <c r="J72" s="20" t="n"/>
    </row>
    <row r="73">
      <c r="B73" s="30" t="inlineStr">
        <is>
          <t>E063</t>
        </is>
      </c>
      <c r="C73" s="24" t="inlineStr">
        <is>
          <t>Australia</t>
        </is>
      </c>
      <c r="D73" s="23" t="n">
        <v>101</v>
      </c>
      <c r="E73" s="23" t="inlineStr">
        <is>
          <t>Interview</t>
        </is>
      </c>
      <c r="F73" s="32" t="n">
        <v>0.5</v>
      </c>
      <c r="G73" s="34" t="n">
        <v>45742</v>
      </c>
      <c r="H73" s="20" t="n"/>
      <c r="I73" s="20" t="n"/>
      <c r="J73" s="20" t="n"/>
    </row>
    <row r="74">
      <c r="B74" s="30" t="inlineStr">
        <is>
          <t>E064</t>
        </is>
      </c>
      <c r="C74" s="23" t="inlineStr">
        <is>
          <t>Spain</t>
        </is>
      </c>
      <c r="D74" s="23" t="n">
        <v>104</v>
      </c>
      <c r="E74" s="23" t="inlineStr">
        <is>
          <t>Survey</t>
        </is>
      </c>
      <c r="F74" s="32" t="n">
        <v>0.75</v>
      </c>
      <c r="G74" s="34" t="n">
        <v>45742</v>
      </c>
      <c r="H74" s="20" t="n"/>
      <c r="I74" s="20" t="n"/>
      <c r="J74" s="20" t="n"/>
    </row>
    <row r="75">
      <c r="B75" s="30" t="inlineStr">
        <is>
          <t>E065</t>
        </is>
      </c>
      <c r="C75" s="22" t="inlineStr">
        <is>
          <t>USA</t>
        </is>
      </c>
      <c r="D75" s="23" t="n">
        <v>235</v>
      </c>
      <c r="E75" s="23" t="inlineStr">
        <is>
          <t>Interview</t>
        </is>
      </c>
      <c r="F75" s="32" t="n">
        <v>0.5</v>
      </c>
      <c r="G75" s="34" t="n">
        <v>45742</v>
      </c>
      <c r="H75" s="20" t="n"/>
      <c r="I75" s="20" t="n"/>
      <c r="J75" s="20" t="n"/>
    </row>
    <row r="76">
      <c r="B76" s="31" t="inlineStr">
        <is>
          <t>E066</t>
        </is>
      </c>
      <c r="C76" s="24" t="inlineStr">
        <is>
          <t>India</t>
        </is>
      </c>
      <c r="D76" s="16" t="n">
        <v>210</v>
      </c>
      <c r="E76" s="23" t="inlineStr">
        <is>
          <t>Survey</t>
        </is>
      </c>
      <c r="F76" s="32" t="n">
        <v>0.5</v>
      </c>
      <c r="G76" s="34" t="n">
        <v>45742</v>
      </c>
      <c r="H76" s="20" t="n"/>
      <c r="I76" s="20" t="n"/>
      <c r="J76" s="20" t="n"/>
    </row>
    <row r="77">
      <c r="B77" s="31" t="inlineStr">
        <is>
          <t>E067</t>
        </is>
      </c>
      <c r="C77" s="24" t="inlineStr">
        <is>
          <t>UK</t>
        </is>
      </c>
      <c r="D77" s="16" t="n">
        <v>149</v>
      </c>
      <c r="E77" s="23" t="inlineStr">
        <is>
          <t>Survey</t>
        </is>
      </c>
      <c r="F77" s="32" t="n">
        <v>1</v>
      </c>
      <c r="G77" s="34" t="n">
        <v>45742</v>
      </c>
      <c r="H77" s="20" t="n"/>
      <c r="I77" s="20" t="n"/>
      <c r="J77" s="20" t="n"/>
    </row>
    <row r="78">
      <c r="B78" s="31" t="inlineStr">
        <is>
          <t>E068</t>
        </is>
      </c>
      <c r="C78" s="24" t="inlineStr">
        <is>
          <t>Australia</t>
        </is>
      </c>
      <c r="D78" s="16" t="n">
        <v>189</v>
      </c>
      <c r="E78" s="23" t="inlineStr">
        <is>
          <t>Survey</t>
        </is>
      </c>
      <c r="F78" s="32" t="n">
        <v>0.75</v>
      </c>
      <c r="G78" s="34" t="n">
        <v>45742</v>
      </c>
      <c r="H78" s="20" t="n"/>
      <c r="I78" s="20" t="n"/>
      <c r="J78" s="20" t="n"/>
    </row>
    <row r="79">
      <c r="B79" s="31" t="inlineStr">
        <is>
          <t>E069</t>
        </is>
      </c>
      <c r="C79" s="24" t="inlineStr">
        <is>
          <t>Spain</t>
        </is>
      </c>
      <c r="D79" s="16" t="n">
        <v>83</v>
      </c>
      <c r="E79" s="23" t="inlineStr">
        <is>
          <t>Interview</t>
        </is>
      </c>
      <c r="F79" s="32" t="n">
        <v>0.75</v>
      </c>
      <c r="G79" s="34" t="n">
        <v>45742</v>
      </c>
      <c r="H79" s="20" t="n"/>
      <c r="I79" s="20" t="n"/>
      <c r="J79" s="20" t="n"/>
    </row>
    <row r="80">
      <c r="B80" s="31" t="inlineStr">
        <is>
          <t>E070</t>
        </is>
      </c>
      <c r="C80" s="24" t="inlineStr">
        <is>
          <t>Netherlands</t>
        </is>
      </c>
      <c r="D80" s="16" t="n">
        <v>187</v>
      </c>
      <c r="E80" s="23" t="inlineStr">
        <is>
          <t>Interview</t>
        </is>
      </c>
      <c r="F80" s="32" t="n">
        <v>1</v>
      </c>
      <c r="G80" s="34" t="n">
        <v>45742</v>
      </c>
      <c r="H80" s="20" t="n"/>
      <c r="I80" s="20" t="n"/>
      <c r="J80" s="20" t="n"/>
    </row>
    <row r="81">
      <c r="B81" s="31" t="inlineStr">
        <is>
          <t>E071</t>
        </is>
      </c>
      <c r="C81" s="24" t="inlineStr">
        <is>
          <t>Germany</t>
        </is>
      </c>
      <c r="D81" s="16" t="n">
        <v>246</v>
      </c>
      <c r="E81" s="23" t="inlineStr">
        <is>
          <t>Survey</t>
        </is>
      </c>
      <c r="F81" s="32" t="n">
        <v>1</v>
      </c>
      <c r="G81" s="34" t="n">
        <v>45735</v>
      </c>
      <c r="H81" s="20" t="n"/>
      <c r="I81" s="20" t="n"/>
      <c r="J81" s="20" t="n"/>
    </row>
    <row r="82">
      <c r="B82" s="31" t="inlineStr">
        <is>
          <t>E072</t>
        </is>
      </c>
      <c r="C82" s="24" t="inlineStr">
        <is>
          <t>Canada</t>
        </is>
      </c>
      <c r="D82" s="16" t="n">
        <v>198</v>
      </c>
      <c r="E82" s="23" t="inlineStr">
        <is>
          <t>Interview</t>
        </is>
      </c>
      <c r="F82" s="32" t="n">
        <v>1</v>
      </c>
      <c r="G82" s="34" t="n">
        <v>45735</v>
      </c>
      <c r="H82" s="20" t="n"/>
      <c r="I82" s="20" t="n"/>
      <c r="J82" s="20" t="n"/>
    </row>
    <row r="83">
      <c r="B83" s="31" t="inlineStr">
        <is>
          <t>E073</t>
        </is>
      </c>
      <c r="C83" s="22" t="inlineStr">
        <is>
          <t>USA</t>
        </is>
      </c>
      <c r="D83" s="16" t="n">
        <v>158</v>
      </c>
      <c r="E83" s="23" t="inlineStr">
        <is>
          <t>Interview</t>
        </is>
      </c>
      <c r="F83" s="32" t="n">
        <v>0.5</v>
      </c>
      <c r="G83" s="34" t="n">
        <v>45735</v>
      </c>
      <c r="H83" s="20" t="n"/>
      <c r="I83" s="20" t="n"/>
      <c r="J83" s="20" t="n"/>
    </row>
    <row r="84">
      <c r="B84" s="31" t="inlineStr">
        <is>
          <t>E074</t>
        </is>
      </c>
      <c r="C84" s="24" t="inlineStr">
        <is>
          <t>India</t>
        </is>
      </c>
      <c r="D84" s="16" t="n">
        <v>198</v>
      </c>
      <c r="E84" s="23" t="inlineStr">
        <is>
          <t>Interview</t>
        </is>
      </c>
      <c r="F84" s="32" t="n">
        <v>0.25</v>
      </c>
      <c r="G84" s="34" t="n">
        <v>45735</v>
      </c>
      <c r="H84" s="20" t="n"/>
      <c r="I84" s="20" t="n"/>
      <c r="J84" s="20" t="n"/>
    </row>
    <row r="85">
      <c r="B85" s="31" t="inlineStr">
        <is>
          <t>E075</t>
        </is>
      </c>
      <c r="C85" s="23" t="inlineStr">
        <is>
          <t>Spain</t>
        </is>
      </c>
      <c r="D85" s="16" t="n">
        <v>195</v>
      </c>
      <c r="E85" s="23" t="inlineStr">
        <is>
          <t>Survey</t>
        </is>
      </c>
      <c r="F85" s="32" t="n">
        <v>0.25</v>
      </c>
      <c r="G85" s="34" t="n">
        <v>45735</v>
      </c>
      <c r="H85" s="20" t="n"/>
      <c r="I85" s="21" t="n"/>
      <c r="J85" s="21" t="n"/>
    </row>
    <row r="86">
      <c r="B86" s="31" t="inlineStr">
        <is>
          <t>E076</t>
        </is>
      </c>
      <c r="C86" s="22" t="inlineStr">
        <is>
          <t>USA</t>
        </is>
      </c>
      <c r="D86" s="16" t="n">
        <v>191</v>
      </c>
      <c r="E86" s="23" t="inlineStr">
        <is>
          <t>Survey</t>
        </is>
      </c>
      <c r="F86" s="32" t="n">
        <v>1</v>
      </c>
      <c r="G86" s="34" t="n">
        <v>45735</v>
      </c>
      <c r="H86" s="20" t="n"/>
    </row>
    <row r="87">
      <c r="B87" s="31" t="inlineStr">
        <is>
          <t>E077</t>
        </is>
      </c>
      <c r="C87" s="24" t="inlineStr">
        <is>
          <t>India</t>
        </is>
      </c>
      <c r="D87" s="16" t="n">
        <v>97</v>
      </c>
      <c r="E87" s="23" t="inlineStr">
        <is>
          <t>Survey</t>
        </is>
      </c>
      <c r="F87" s="32" t="n">
        <v>0.75</v>
      </c>
      <c r="G87" s="34" t="n">
        <v>45735</v>
      </c>
      <c r="H87" s="20" t="n"/>
    </row>
    <row r="88">
      <c r="B88" s="31" t="inlineStr">
        <is>
          <t>E078</t>
        </is>
      </c>
      <c r="C88" s="24" t="inlineStr">
        <is>
          <t>UK</t>
        </is>
      </c>
      <c r="D88" s="16" t="n">
        <v>229</v>
      </c>
      <c r="E88" s="23" t="inlineStr">
        <is>
          <t>Interview</t>
        </is>
      </c>
      <c r="F88" s="32" t="n">
        <v>0.25</v>
      </c>
      <c r="G88" s="34" t="n">
        <v>45735</v>
      </c>
      <c r="H88" s="20" t="n"/>
    </row>
    <row r="89">
      <c r="B89" s="31" t="inlineStr">
        <is>
          <t>E079</t>
        </is>
      </c>
      <c r="C89" s="24" t="inlineStr">
        <is>
          <t>Australia</t>
        </is>
      </c>
      <c r="D89" s="16" t="n">
        <v>109</v>
      </c>
      <c r="E89" s="23" t="inlineStr">
        <is>
          <t>Survey</t>
        </is>
      </c>
      <c r="F89" s="32" t="n">
        <v>0.25</v>
      </c>
      <c r="G89" s="34" t="n">
        <v>45735</v>
      </c>
      <c r="H89" s="20" t="n"/>
    </row>
    <row r="90">
      <c r="B90" s="31" t="inlineStr">
        <is>
          <t>E080</t>
        </is>
      </c>
      <c r="C90" s="24" t="inlineStr">
        <is>
          <t>Spain</t>
        </is>
      </c>
      <c r="D90" s="16" t="n">
        <v>113</v>
      </c>
      <c r="E90" s="23" t="inlineStr">
        <is>
          <t>Interview</t>
        </is>
      </c>
      <c r="F90" s="32" t="n">
        <v>0.5</v>
      </c>
      <c r="G90" s="34" t="n">
        <v>45735</v>
      </c>
      <c r="H90" s="20" t="n"/>
    </row>
    <row r="91">
      <c r="B91" s="31" t="inlineStr">
        <is>
          <t>E081</t>
        </is>
      </c>
      <c r="C91" s="24" t="inlineStr">
        <is>
          <t>Netherlands</t>
        </is>
      </c>
      <c r="D91" s="16" t="n">
        <v>115</v>
      </c>
      <c r="E91" s="23" t="inlineStr">
        <is>
          <t>Survey</t>
        </is>
      </c>
      <c r="F91" s="32" t="n">
        <v>0.75</v>
      </c>
      <c r="G91" s="34" t="n">
        <v>45735</v>
      </c>
      <c r="H91" s="20" t="n"/>
    </row>
    <row r="92">
      <c r="B92" s="31" t="inlineStr">
        <is>
          <t>E082</t>
        </is>
      </c>
      <c r="C92" s="24" t="inlineStr">
        <is>
          <t>Germany</t>
        </is>
      </c>
      <c r="D92" s="16" t="n">
        <v>210</v>
      </c>
      <c r="E92" s="23" t="inlineStr">
        <is>
          <t>Survey</t>
        </is>
      </c>
      <c r="F92" s="32" t="n">
        <v>0.5</v>
      </c>
      <c r="G92" s="34" t="n">
        <v>45735</v>
      </c>
      <c r="H92" s="20" t="n"/>
    </row>
    <row r="93">
      <c r="B93" s="31" t="inlineStr">
        <is>
          <t>E083</t>
        </is>
      </c>
      <c r="C93" s="24" t="inlineStr">
        <is>
          <t>Canada</t>
        </is>
      </c>
      <c r="D93" s="16" t="n">
        <v>213</v>
      </c>
      <c r="E93" s="23" t="inlineStr">
        <is>
          <t>Survey</t>
        </is>
      </c>
      <c r="F93" s="32" t="n">
        <v>0.5</v>
      </c>
      <c r="G93" s="34" t="n">
        <v>45742</v>
      </c>
      <c r="H93" s="20" t="n"/>
    </row>
    <row r="94">
      <c r="B94" s="31" t="inlineStr">
        <is>
          <t>E084</t>
        </is>
      </c>
      <c r="C94" s="24" t="inlineStr">
        <is>
          <t>Australia</t>
        </is>
      </c>
      <c r="D94" s="16" t="n">
        <v>228</v>
      </c>
      <c r="E94" s="23" t="inlineStr">
        <is>
          <t>Interview</t>
        </is>
      </c>
      <c r="F94" s="32" t="n">
        <v>1</v>
      </c>
      <c r="G94" s="34" t="n">
        <v>45742</v>
      </c>
      <c r="H94" s="20" t="n"/>
    </row>
    <row r="95">
      <c r="B95" s="31" t="inlineStr">
        <is>
          <t>E085</t>
        </is>
      </c>
      <c r="C95" s="24" t="inlineStr">
        <is>
          <t>Spain</t>
        </is>
      </c>
      <c r="D95" s="16" t="n">
        <v>140</v>
      </c>
      <c r="E95" s="23" t="inlineStr">
        <is>
          <t>Interview</t>
        </is>
      </c>
      <c r="F95" s="32" t="n">
        <v>0.75</v>
      </c>
      <c r="G95" s="34" t="n">
        <v>45742</v>
      </c>
      <c r="H95" s="20" t="n"/>
    </row>
    <row r="96">
      <c r="B96" s="31" t="inlineStr">
        <is>
          <t>E086</t>
        </is>
      </c>
      <c r="C96" s="24" t="inlineStr">
        <is>
          <t>Netherlands</t>
        </is>
      </c>
      <c r="D96" s="16" t="n">
        <v>166</v>
      </c>
      <c r="E96" s="23" t="inlineStr">
        <is>
          <t>Survey</t>
        </is>
      </c>
      <c r="F96" s="32" t="n">
        <v>0.75</v>
      </c>
      <c r="G96" s="34" t="n">
        <v>45742</v>
      </c>
      <c r="H96" s="20" t="n"/>
    </row>
    <row r="97">
      <c r="B97" s="31" t="inlineStr">
        <is>
          <t>E087</t>
        </is>
      </c>
      <c r="C97" s="23" t="inlineStr">
        <is>
          <t>Spain</t>
        </is>
      </c>
      <c r="D97" s="16" t="n">
        <v>234</v>
      </c>
      <c r="E97" s="23" t="inlineStr">
        <is>
          <t>Interview</t>
        </is>
      </c>
      <c r="F97" s="32" t="n">
        <v>1</v>
      </c>
      <c r="G97" s="34" t="n">
        <v>45742</v>
      </c>
      <c r="H97" s="20" t="n"/>
    </row>
    <row r="98">
      <c r="B98" s="31" t="inlineStr">
        <is>
          <t>E088</t>
        </is>
      </c>
      <c r="C98" s="23" t="inlineStr">
        <is>
          <t>Spain</t>
        </is>
      </c>
      <c r="D98" s="16" t="n">
        <v>148</v>
      </c>
      <c r="E98" s="23" t="inlineStr">
        <is>
          <t>Interview</t>
        </is>
      </c>
      <c r="F98" s="32" t="n">
        <v>1</v>
      </c>
      <c r="G98" s="34" t="n">
        <v>45742</v>
      </c>
      <c r="H98" s="20" t="n"/>
    </row>
    <row r="99">
      <c r="B99" s="31" t="inlineStr">
        <is>
          <t>E089</t>
        </is>
      </c>
      <c r="C99" s="22" t="inlineStr">
        <is>
          <t>USA</t>
        </is>
      </c>
      <c r="D99" s="16" t="n">
        <v>130</v>
      </c>
      <c r="E99" s="23" t="inlineStr">
        <is>
          <t>Interview</t>
        </is>
      </c>
      <c r="F99" s="32" t="n">
        <v>1</v>
      </c>
      <c r="G99" s="34" t="n">
        <v>45742</v>
      </c>
      <c r="H99" s="20" t="n"/>
    </row>
    <row r="100">
      <c r="B100" s="31" t="inlineStr">
        <is>
          <t>E090</t>
        </is>
      </c>
      <c r="C100" s="24" t="inlineStr">
        <is>
          <t>India</t>
        </is>
      </c>
      <c r="D100" s="16" t="n">
        <v>147</v>
      </c>
      <c r="E100" s="23" t="inlineStr">
        <is>
          <t>Survey</t>
        </is>
      </c>
      <c r="F100" s="32" t="n">
        <v>0.5</v>
      </c>
      <c r="G100" s="34" t="n">
        <v>45742</v>
      </c>
      <c r="H100" s="20" t="n"/>
    </row>
    <row r="101">
      <c r="B101" s="31" t="inlineStr">
        <is>
          <t>E091</t>
        </is>
      </c>
      <c r="C101" s="24" t="inlineStr">
        <is>
          <t>UK</t>
        </is>
      </c>
      <c r="D101" s="16" t="n">
        <v>180</v>
      </c>
      <c r="E101" s="23" t="inlineStr">
        <is>
          <t>Survey</t>
        </is>
      </c>
      <c r="F101" s="32" t="n">
        <v>0.25</v>
      </c>
      <c r="G101" s="34" t="n">
        <v>45742</v>
      </c>
      <c r="H101" s="20" t="n"/>
    </row>
    <row r="102">
      <c r="B102" s="31" t="inlineStr">
        <is>
          <t>E092</t>
        </is>
      </c>
      <c r="C102" s="24" t="inlineStr">
        <is>
          <t>Australia</t>
        </is>
      </c>
      <c r="D102" s="16" t="n">
        <v>250</v>
      </c>
      <c r="E102" s="23" t="inlineStr">
        <is>
          <t>Survey</t>
        </is>
      </c>
      <c r="F102" s="32" t="n">
        <v>0.25</v>
      </c>
      <c r="G102" s="34" t="n">
        <v>45742</v>
      </c>
      <c r="H102" s="20" t="n"/>
    </row>
    <row r="103">
      <c r="B103" s="31" t="inlineStr">
        <is>
          <t>E093</t>
        </is>
      </c>
      <c r="C103" s="24" t="inlineStr">
        <is>
          <t>Spain</t>
        </is>
      </c>
      <c r="D103" s="16" t="n">
        <v>183</v>
      </c>
      <c r="E103" s="23" t="inlineStr">
        <is>
          <t>Interview</t>
        </is>
      </c>
      <c r="F103" s="32" t="n">
        <v>1</v>
      </c>
      <c r="G103" s="34" t="n">
        <v>45742</v>
      </c>
      <c r="H103" s="20" t="n"/>
    </row>
    <row r="104">
      <c r="B104" s="31" t="inlineStr">
        <is>
          <t>E094</t>
        </is>
      </c>
      <c r="C104" s="24" t="inlineStr">
        <is>
          <t>Netherlands</t>
        </is>
      </c>
      <c r="D104" s="16" t="n">
        <v>123</v>
      </c>
      <c r="E104" s="23" t="inlineStr">
        <is>
          <t>Survey</t>
        </is>
      </c>
      <c r="F104" s="32" t="n">
        <v>0.75</v>
      </c>
      <c r="G104" s="34" t="n">
        <v>45742</v>
      </c>
      <c r="H104" s="20" t="n"/>
    </row>
    <row r="105">
      <c r="B105" s="31" t="inlineStr">
        <is>
          <t>E095</t>
        </is>
      </c>
      <c r="C105" s="24" t="inlineStr">
        <is>
          <t>Germany</t>
        </is>
      </c>
      <c r="D105" s="16" t="n">
        <v>135</v>
      </c>
      <c r="E105" s="23" t="inlineStr">
        <is>
          <t>Interview</t>
        </is>
      </c>
      <c r="F105" s="32" t="n">
        <v>0.25</v>
      </c>
      <c r="G105" s="34" t="n">
        <v>45735</v>
      </c>
      <c r="H105" s="20" t="n"/>
    </row>
    <row r="106">
      <c r="B106" s="31" t="inlineStr">
        <is>
          <t>E096</t>
        </is>
      </c>
      <c r="C106" s="24" t="inlineStr">
        <is>
          <t>Canada</t>
        </is>
      </c>
      <c r="D106" s="16" t="n">
        <v>186</v>
      </c>
      <c r="E106" s="23" t="inlineStr">
        <is>
          <t>Survey</t>
        </is>
      </c>
      <c r="F106" s="32" t="n">
        <v>0.25</v>
      </c>
      <c r="G106" s="34" t="n">
        <v>45735</v>
      </c>
      <c r="H106" s="20" t="n"/>
    </row>
    <row r="107">
      <c r="B107" s="31" t="inlineStr">
        <is>
          <t>E097</t>
        </is>
      </c>
      <c r="C107" s="23" t="inlineStr">
        <is>
          <t>Spain</t>
        </is>
      </c>
      <c r="D107" s="16" t="n">
        <v>190</v>
      </c>
      <c r="E107" s="23" t="inlineStr">
        <is>
          <t>Survey</t>
        </is>
      </c>
      <c r="F107" s="32" t="n">
        <v>0.5</v>
      </c>
      <c r="G107" s="34" t="n">
        <v>45735</v>
      </c>
      <c r="H107" s="20" t="n"/>
    </row>
    <row r="108">
      <c r="B108" s="31" t="inlineStr">
        <is>
          <t>E098</t>
        </is>
      </c>
      <c r="C108" s="23" t="inlineStr">
        <is>
          <t>Australia</t>
        </is>
      </c>
      <c r="D108" s="16" t="n">
        <v>97</v>
      </c>
      <c r="E108" s="23" t="inlineStr">
        <is>
          <t>Survey</t>
        </is>
      </c>
      <c r="F108" s="32" t="n">
        <v>0.75</v>
      </c>
      <c r="G108" s="34" t="n">
        <v>45735</v>
      </c>
      <c r="H108" s="20" t="n"/>
    </row>
    <row r="109">
      <c r="B109" s="31" t="inlineStr">
        <is>
          <t>E099</t>
        </is>
      </c>
      <c r="C109" s="22" t="inlineStr">
        <is>
          <t>USA</t>
        </is>
      </c>
      <c r="D109" s="16" t="n">
        <v>96</v>
      </c>
      <c r="E109" s="23" t="inlineStr">
        <is>
          <t>Interview</t>
        </is>
      </c>
      <c r="F109" s="32" t="n">
        <v>0.5</v>
      </c>
      <c r="G109" s="34" t="n">
        <v>45735</v>
      </c>
      <c r="H109" s="20" t="n"/>
    </row>
    <row r="110">
      <c r="B110" s="31" t="inlineStr">
        <is>
          <t>E100</t>
        </is>
      </c>
      <c r="C110" s="24" t="inlineStr">
        <is>
          <t>India</t>
        </is>
      </c>
      <c r="D110" s="16" t="n">
        <v>84</v>
      </c>
      <c r="E110" s="23" t="inlineStr">
        <is>
          <t>Interview</t>
        </is>
      </c>
      <c r="F110" s="32" t="n">
        <v>0.5</v>
      </c>
      <c r="G110" s="34" t="n">
        <v>45735</v>
      </c>
      <c r="H110" s="20" t="n"/>
    </row>
    <row r="111">
      <c r="B111" s="31" t="inlineStr">
        <is>
          <t>E101</t>
        </is>
      </c>
      <c r="C111" s="24" t="inlineStr">
        <is>
          <t>UK</t>
        </is>
      </c>
      <c r="D111" s="16" t="n">
        <v>157</v>
      </c>
      <c r="E111" s="23" t="inlineStr">
        <is>
          <t>Survey</t>
        </is>
      </c>
      <c r="F111" s="32" t="n">
        <v>1</v>
      </c>
      <c r="G111" s="34" t="n">
        <v>45735</v>
      </c>
      <c r="H111" s="20" t="n"/>
    </row>
    <row r="112">
      <c r="B112" s="31" t="inlineStr">
        <is>
          <t>E102</t>
        </is>
      </c>
      <c r="C112" s="24" t="inlineStr">
        <is>
          <t>Australia</t>
        </is>
      </c>
      <c r="D112" s="16" t="n">
        <v>233</v>
      </c>
      <c r="E112" s="23" t="inlineStr">
        <is>
          <t>Interview</t>
        </is>
      </c>
      <c r="F112" s="32" t="n">
        <v>0.75</v>
      </c>
      <c r="G112" s="34" t="n">
        <v>45735</v>
      </c>
      <c r="H112" s="20" t="n"/>
    </row>
    <row r="113">
      <c r="B113" s="31" t="inlineStr">
        <is>
          <t>E103</t>
        </is>
      </c>
      <c r="C113" s="24" t="inlineStr">
        <is>
          <t>Spain</t>
        </is>
      </c>
      <c r="D113" s="16" t="n">
        <v>191</v>
      </c>
      <c r="E113" s="23" t="inlineStr">
        <is>
          <t>Interview</t>
        </is>
      </c>
      <c r="F113" s="32" t="n">
        <v>0.75</v>
      </c>
      <c r="G113" s="34" t="n">
        <v>45735</v>
      </c>
      <c r="H113" s="20" t="n"/>
    </row>
    <row r="114">
      <c r="B114" s="31" t="inlineStr">
        <is>
          <t>E104</t>
        </is>
      </c>
      <c r="C114" s="24" t="inlineStr">
        <is>
          <t>Netherlands</t>
        </is>
      </c>
      <c r="D114" s="16" t="n">
        <v>197</v>
      </c>
      <c r="E114" s="23" t="inlineStr">
        <is>
          <t>Interview</t>
        </is>
      </c>
      <c r="F114" s="32" t="n">
        <v>1</v>
      </c>
      <c r="G114" s="34" t="n">
        <v>45735</v>
      </c>
      <c r="H114" s="20" t="n"/>
    </row>
    <row r="115">
      <c r="B115" s="31" t="inlineStr">
        <is>
          <t>E105</t>
        </is>
      </c>
      <c r="C115" s="24" t="inlineStr">
        <is>
          <t>Germany</t>
        </is>
      </c>
      <c r="D115" s="16" t="n">
        <v>188</v>
      </c>
      <c r="E115" s="23" t="inlineStr">
        <is>
          <t>Survey</t>
        </is>
      </c>
      <c r="F115" s="32" t="n">
        <v>1</v>
      </c>
      <c r="G115" s="34" t="n">
        <v>45742</v>
      </c>
      <c r="H115" s="20" t="n"/>
    </row>
    <row r="116">
      <c r="B116" s="31" t="inlineStr">
        <is>
          <t>E106</t>
        </is>
      </c>
      <c r="C116" s="24" t="inlineStr">
        <is>
          <t>Canada</t>
        </is>
      </c>
      <c r="D116" s="16" t="n">
        <v>198</v>
      </c>
      <c r="E116" s="23" t="inlineStr">
        <is>
          <t>Survey</t>
        </is>
      </c>
      <c r="F116" s="32" t="n">
        <v>1</v>
      </c>
      <c r="G116" s="34" t="n">
        <v>45742</v>
      </c>
      <c r="H116" s="20" t="n"/>
    </row>
    <row r="117">
      <c r="B117" s="31" t="inlineStr">
        <is>
          <t>E107</t>
        </is>
      </c>
      <c r="C117" s="24" t="inlineStr">
        <is>
          <t>Australia</t>
        </is>
      </c>
      <c r="D117" s="16" t="n">
        <v>95</v>
      </c>
      <c r="E117" s="23" t="inlineStr">
        <is>
          <t>Survey</t>
        </is>
      </c>
      <c r="F117" s="32" t="n">
        <v>0.5</v>
      </c>
      <c r="G117" s="34" t="n">
        <v>45742</v>
      </c>
      <c r="H117" s="20" t="n"/>
    </row>
    <row r="118">
      <c r="B118" s="31" t="inlineStr">
        <is>
          <t>E108</t>
        </is>
      </c>
      <c r="C118" s="24" t="inlineStr">
        <is>
          <t>Spain</t>
        </is>
      </c>
      <c r="D118" s="16" t="n">
        <v>91</v>
      </c>
      <c r="E118" s="23" t="inlineStr">
        <is>
          <t>Interview</t>
        </is>
      </c>
      <c r="F118" s="32" t="n">
        <v>0.25</v>
      </c>
      <c r="G118" s="34" t="n">
        <v>45742</v>
      </c>
      <c r="H118" s="20" t="n"/>
    </row>
    <row r="119">
      <c r="B119" s="31" t="inlineStr">
        <is>
          <t>E109</t>
        </is>
      </c>
      <c r="C119" s="24" t="inlineStr">
        <is>
          <t>Netherlands</t>
        </is>
      </c>
      <c r="D119" s="16" t="n">
        <v>97</v>
      </c>
      <c r="E119" s="23" t="inlineStr">
        <is>
          <t>Survey</t>
        </is>
      </c>
      <c r="F119" s="32" t="n">
        <v>0.25</v>
      </c>
      <c r="G119" s="34" t="n">
        <v>45742</v>
      </c>
      <c r="H119" s="20" t="n"/>
    </row>
    <row r="120">
      <c r="B120" s="31" t="inlineStr">
        <is>
          <t>E110</t>
        </is>
      </c>
      <c r="C120" s="16" t="inlineStr">
        <is>
          <t>Canada</t>
        </is>
      </c>
      <c r="D120" s="16" t="n">
        <v>198</v>
      </c>
      <c r="E120" s="23" t="inlineStr">
        <is>
          <t>Interview</t>
        </is>
      </c>
      <c r="F120" s="32" t="n">
        <v>1</v>
      </c>
      <c r="G120" s="34" t="n">
        <v>45742</v>
      </c>
      <c r="H120" s="20" t="n"/>
    </row>
    <row r="121">
      <c r="B121" s="31" t="inlineStr">
        <is>
          <t>E111</t>
        </is>
      </c>
      <c r="C121" s="16" t="inlineStr">
        <is>
          <t>Canada</t>
        </is>
      </c>
      <c r="D121" s="16" t="n">
        <v>200</v>
      </c>
      <c r="E121" s="23" t="inlineStr">
        <is>
          <t>Survey</t>
        </is>
      </c>
      <c r="F121" s="32" t="n">
        <v>0.75</v>
      </c>
      <c r="G121" s="34" t="n">
        <v>45742</v>
      </c>
      <c r="H121" s="20" t="n"/>
    </row>
    <row r="122">
      <c r="B122" s="31" t="inlineStr">
        <is>
          <t>E112</t>
        </is>
      </c>
      <c r="C122" s="24" t="inlineStr">
        <is>
          <t>Australia</t>
        </is>
      </c>
      <c r="D122" s="16" t="n">
        <v>169</v>
      </c>
      <c r="E122" s="23" t="inlineStr">
        <is>
          <t>Survey</t>
        </is>
      </c>
      <c r="F122" s="32" t="n">
        <v>0.25</v>
      </c>
      <c r="G122" s="34" t="n">
        <v>45742</v>
      </c>
      <c r="H122" s="20" t="n"/>
    </row>
    <row r="123">
      <c r="B123" s="31" t="inlineStr">
        <is>
          <t>E113</t>
        </is>
      </c>
      <c r="C123" s="24" t="inlineStr">
        <is>
          <t>Spain</t>
        </is>
      </c>
      <c r="D123" s="16" t="n">
        <v>153</v>
      </c>
      <c r="E123" s="23" t="inlineStr">
        <is>
          <t>Survey</t>
        </is>
      </c>
      <c r="F123" s="32" t="n">
        <v>0.25</v>
      </c>
      <c r="G123" s="34" t="n">
        <v>45742</v>
      </c>
      <c r="H123" s="20" t="n"/>
    </row>
    <row r="124">
      <c r="B124" s="31" t="inlineStr">
        <is>
          <t>E114</t>
        </is>
      </c>
      <c r="C124" s="24" t="inlineStr">
        <is>
          <t>Netherlands</t>
        </is>
      </c>
      <c r="D124" s="16" t="n">
        <v>126</v>
      </c>
      <c r="E124" s="23" t="inlineStr">
        <is>
          <t>Interview</t>
        </is>
      </c>
      <c r="F124" s="32" t="n">
        <v>0.5</v>
      </c>
      <c r="G124" s="34" t="n">
        <v>45742</v>
      </c>
      <c r="H124" s="20" t="n"/>
    </row>
    <row r="125">
      <c r="B125" s="31" t="inlineStr">
        <is>
          <t>E115</t>
        </is>
      </c>
      <c r="C125" s="16" t="inlineStr">
        <is>
          <t>Canada</t>
        </is>
      </c>
      <c r="D125" s="16" t="n">
        <v>143</v>
      </c>
      <c r="E125" s="23" t="inlineStr">
        <is>
          <t>Interview</t>
        </is>
      </c>
      <c r="F125" s="32" t="n">
        <v>0.75</v>
      </c>
      <c r="G125" s="34" t="n">
        <v>45742</v>
      </c>
      <c r="H125" s="20" t="n"/>
    </row>
    <row r="126">
      <c r="B126" s="31" t="inlineStr">
        <is>
          <t>E116</t>
        </is>
      </c>
      <c r="C126" s="16" t="inlineStr">
        <is>
          <t>Canada</t>
        </is>
      </c>
      <c r="D126" s="16" t="n">
        <v>106</v>
      </c>
      <c r="E126" s="23" t="inlineStr">
        <is>
          <t>Survey</t>
        </is>
      </c>
      <c r="F126" s="32" t="n">
        <v>0.5</v>
      </c>
      <c r="G126" s="34" t="n">
        <v>45742</v>
      </c>
      <c r="H126" s="20" t="n"/>
    </row>
    <row r="127">
      <c r="B127" s="31" t="inlineStr">
        <is>
          <t>E117</t>
        </is>
      </c>
      <c r="C127" s="16" t="inlineStr">
        <is>
          <t>Canada</t>
        </is>
      </c>
      <c r="D127" s="16" t="n">
        <v>128</v>
      </c>
      <c r="E127" s="23" t="inlineStr">
        <is>
          <t>Interview</t>
        </is>
      </c>
      <c r="F127" s="32" t="n">
        <v>0.5</v>
      </c>
      <c r="G127" s="34" t="n">
        <v>45742</v>
      </c>
      <c r="H127" s="20" t="n"/>
    </row>
    <row r="128">
      <c r="B128" s="31" t="inlineStr">
        <is>
          <t>E118</t>
        </is>
      </c>
      <c r="C128" s="24" t="inlineStr">
        <is>
          <t>Australia</t>
        </is>
      </c>
      <c r="D128" s="16" t="n">
        <v>177</v>
      </c>
      <c r="E128" s="23" t="inlineStr">
        <is>
          <t>Interview</t>
        </is>
      </c>
      <c r="F128" s="32" t="n">
        <v>1</v>
      </c>
      <c r="G128" s="34" t="n">
        <v>45742</v>
      </c>
      <c r="H128" s="20" t="n"/>
    </row>
    <row r="129">
      <c r="B129" s="31" t="inlineStr">
        <is>
          <t>E119</t>
        </is>
      </c>
      <c r="C129" s="24" t="inlineStr">
        <is>
          <t>Spain</t>
        </is>
      </c>
      <c r="D129" s="16" t="n">
        <v>242</v>
      </c>
      <c r="E129" s="23" t="inlineStr">
        <is>
          <t>Interview</t>
        </is>
      </c>
      <c r="F129" s="32" t="n">
        <v>0.75</v>
      </c>
      <c r="G129" s="34" t="n">
        <v>45742</v>
      </c>
      <c r="H129" s="20" t="n"/>
    </row>
    <row r="130">
      <c r="B130" s="31" t="inlineStr">
        <is>
          <t>E120</t>
        </is>
      </c>
      <c r="C130" s="24" t="inlineStr">
        <is>
          <t>Netherlands</t>
        </is>
      </c>
      <c r="D130" s="16" t="n">
        <v>122</v>
      </c>
      <c r="E130" s="23" t="inlineStr">
        <is>
          <t>Survey</t>
        </is>
      </c>
      <c r="F130" s="32" t="n">
        <v>0.75</v>
      </c>
      <c r="G130" s="34" t="n">
        <v>45742</v>
      </c>
      <c r="H130" s="20" t="n"/>
    </row>
    <row r="131">
      <c r="B131" s="31" t="inlineStr">
        <is>
          <t>E121</t>
        </is>
      </c>
      <c r="C131" s="23" t="inlineStr">
        <is>
          <t>Australia</t>
        </is>
      </c>
      <c r="D131" s="16" t="n">
        <v>138</v>
      </c>
      <c r="E131" s="23" t="inlineStr">
        <is>
          <t>Survey</t>
        </is>
      </c>
      <c r="F131" s="32" t="n">
        <v>1</v>
      </c>
      <c r="G131" s="34" t="n">
        <v>45742</v>
      </c>
      <c r="H131" s="20" t="n"/>
    </row>
    <row r="132">
      <c r="B132" s="31" t="inlineStr">
        <is>
          <t>E122</t>
        </is>
      </c>
      <c r="C132" s="23" t="inlineStr">
        <is>
          <t>Australia</t>
        </is>
      </c>
      <c r="D132" s="16" t="n">
        <v>179</v>
      </c>
      <c r="E132" s="23" t="inlineStr">
        <is>
          <t>Survey</t>
        </is>
      </c>
      <c r="F132" s="32" t="n">
        <v>1</v>
      </c>
      <c r="G132" s="34" t="n">
        <v>45742</v>
      </c>
      <c r="H132" s="20" t="n"/>
    </row>
    <row r="133">
      <c r="B133" s="31" t="inlineStr">
        <is>
          <t>E123</t>
        </is>
      </c>
      <c r="C133" s="23" t="inlineStr">
        <is>
          <t>Australia</t>
        </is>
      </c>
      <c r="D133" s="16" t="n">
        <v>194</v>
      </c>
      <c r="E133" s="23" t="inlineStr">
        <is>
          <t>Interview</t>
        </is>
      </c>
      <c r="F133" s="32" t="n">
        <v>1</v>
      </c>
      <c r="G133" s="34" t="n">
        <v>45742</v>
      </c>
      <c r="H133" s="20" t="n"/>
    </row>
    <row r="134">
      <c r="B134" s="31" t="inlineStr">
        <is>
          <t>E124</t>
        </is>
      </c>
      <c r="C134" s="24" t="inlineStr">
        <is>
          <t>Germany</t>
        </is>
      </c>
      <c r="D134" s="16" t="n">
        <v>215</v>
      </c>
      <c r="E134" s="23" t="inlineStr">
        <is>
          <t>Survey</t>
        </is>
      </c>
      <c r="F134" s="32" t="n">
        <v>0.5</v>
      </c>
      <c r="G134" s="34" t="n">
        <v>45742</v>
      </c>
      <c r="H134" s="20" t="n"/>
    </row>
    <row r="135">
      <c r="B135" s="31" t="inlineStr">
        <is>
          <t>E125</t>
        </is>
      </c>
      <c r="C135" s="24" t="inlineStr">
        <is>
          <t>Canada</t>
        </is>
      </c>
      <c r="D135" s="16" t="n">
        <v>238</v>
      </c>
      <c r="E135" s="23" t="inlineStr">
        <is>
          <t>Interview</t>
        </is>
      </c>
      <c r="F135" s="32" t="n">
        <v>0.25</v>
      </c>
      <c r="G135" s="34" t="n">
        <v>45742</v>
      </c>
      <c r="H135" s="20" t="n"/>
    </row>
    <row r="136">
      <c r="B136" s="31" t="inlineStr">
        <is>
          <t>E126</t>
        </is>
      </c>
      <c r="C136" s="24" t="inlineStr">
        <is>
          <t>Spain</t>
        </is>
      </c>
      <c r="D136" s="16" t="n">
        <v>201</v>
      </c>
      <c r="E136" s="23" t="inlineStr">
        <is>
          <t>Survey</t>
        </is>
      </c>
      <c r="F136" s="32" t="n">
        <v>0.25</v>
      </c>
      <c r="G136" s="34" t="n">
        <v>45742</v>
      </c>
      <c r="H136" s="20" t="n"/>
    </row>
    <row r="137">
      <c r="B137" s="31" t="inlineStr">
        <is>
          <t>E127</t>
        </is>
      </c>
      <c r="C137" s="24" t="inlineStr">
        <is>
          <t>Netherlands</t>
        </is>
      </c>
      <c r="D137" s="16" t="n">
        <v>221</v>
      </c>
      <c r="E137" s="23" t="inlineStr">
        <is>
          <t>Survey</t>
        </is>
      </c>
      <c r="F137" s="32" t="n">
        <v>1</v>
      </c>
      <c r="G137" s="34" t="n">
        <v>45742</v>
      </c>
      <c r="H137" s="20" t="n"/>
    </row>
    <row r="138">
      <c r="B138" s="31" t="inlineStr">
        <is>
          <t>E128</t>
        </is>
      </c>
      <c r="C138" s="24" t="inlineStr">
        <is>
          <t>Germany</t>
        </is>
      </c>
      <c r="D138" s="16" t="n">
        <v>141</v>
      </c>
      <c r="E138" s="23" t="inlineStr">
        <is>
          <t>Survey</t>
        </is>
      </c>
      <c r="F138" s="32" t="n">
        <v>0.75</v>
      </c>
      <c r="G138" s="34" t="n">
        <v>45742</v>
      </c>
      <c r="H138" s="20" t="n"/>
    </row>
    <row r="139">
      <c r="B139" s="31" t="inlineStr">
        <is>
          <t>E129</t>
        </is>
      </c>
      <c r="C139" s="24" t="inlineStr">
        <is>
          <t>Canada</t>
        </is>
      </c>
      <c r="D139" s="16" t="n">
        <v>82</v>
      </c>
      <c r="E139" s="23" t="inlineStr">
        <is>
          <t>Interview</t>
        </is>
      </c>
      <c r="F139" s="32" t="n">
        <v>0.25</v>
      </c>
      <c r="G139" s="34" t="n">
        <v>45742</v>
      </c>
      <c r="H139" s="20" t="n"/>
    </row>
    <row r="140">
      <c r="B140" s="31" t="inlineStr">
        <is>
          <t>E130</t>
        </is>
      </c>
      <c r="C140" s="24" t="inlineStr">
        <is>
          <t>India</t>
        </is>
      </c>
      <c r="D140" s="16" t="n">
        <v>111</v>
      </c>
      <c r="E140" s="23" t="inlineStr">
        <is>
          <t>Interview</t>
        </is>
      </c>
      <c r="F140" s="32" t="n">
        <v>0.25</v>
      </c>
      <c r="G140" s="34" t="n">
        <v>45742</v>
      </c>
      <c r="H140" s="20" t="n"/>
    </row>
    <row r="141">
      <c r="B141" s="31" t="inlineStr">
        <is>
          <t>E131</t>
        </is>
      </c>
      <c r="C141" s="24" t="inlineStr">
        <is>
          <t>Germany</t>
        </is>
      </c>
      <c r="D141" s="16" t="n">
        <v>206</v>
      </c>
      <c r="E141" s="23" t="inlineStr">
        <is>
          <t>Survey</t>
        </is>
      </c>
      <c r="F141" s="32" t="n">
        <v>0.5</v>
      </c>
      <c r="G141" s="34" t="n">
        <v>45742</v>
      </c>
      <c r="H141" s="20" t="n"/>
    </row>
    <row r="142">
      <c r="B142" s="31" t="inlineStr">
        <is>
          <t>E132</t>
        </is>
      </c>
      <c r="C142" s="24" t="inlineStr">
        <is>
          <t>Canada</t>
        </is>
      </c>
      <c r="D142" s="16" t="n">
        <v>91</v>
      </c>
      <c r="E142" s="23" t="inlineStr">
        <is>
          <t>Interview</t>
        </is>
      </c>
      <c r="F142" s="32" t="n">
        <v>0.75</v>
      </c>
      <c r="G142" s="34" t="n">
        <v>45742</v>
      </c>
      <c r="H142" s="20" t="n"/>
    </row>
    <row r="143">
      <c r="B143" s="31" t="inlineStr">
        <is>
          <t>E133</t>
        </is>
      </c>
      <c r="C143" s="24" t="inlineStr">
        <is>
          <t>Spain</t>
        </is>
      </c>
      <c r="D143" s="16" t="n">
        <v>124</v>
      </c>
      <c r="E143" s="23" t="inlineStr">
        <is>
          <t>Interview</t>
        </is>
      </c>
      <c r="F143" s="32" t="n">
        <v>0.5</v>
      </c>
      <c r="G143" s="34" t="n">
        <v>45742</v>
      </c>
      <c r="H143" s="20" t="n"/>
    </row>
    <row r="144">
      <c r="B144" s="31" t="inlineStr">
        <is>
          <t>E134</t>
        </is>
      </c>
      <c r="C144" s="24" t="inlineStr">
        <is>
          <t>Netherlands</t>
        </is>
      </c>
      <c r="D144" s="16" t="n">
        <v>240</v>
      </c>
      <c r="E144" s="23" t="inlineStr">
        <is>
          <t>Interview</t>
        </is>
      </c>
      <c r="F144" s="32" t="n">
        <v>0.5</v>
      </c>
      <c r="G144" s="34" t="n">
        <v>45742</v>
      </c>
      <c r="H144" s="20" t="n"/>
    </row>
    <row r="145">
      <c r="B145" s="31" t="inlineStr">
        <is>
          <t>E135</t>
        </is>
      </c>
      <c r="C145" s="24" t="inlineStr">
        <is>
          <t>Germany</t>
        </is>
      </c>
      <c r="D145" s="16" t="n">
        <v>164</v>
      </c>
      <c r="E145" s="23" t="inlineStr">
        <is>
          <t>Survey</t>
        </is>
      </c>
      <c r="F145" s="32" t="n">
        <v>1</v>
      </c>
      <c r="G145" s="34" t="n">
        <v>45742</v>
      </c>
      <c r="H145" s="20" t="n"/>
    </row>
    <row r="146">
      <c r="B146" s="31" t="inlineStr">
        <is>
          <t>E136</t>
        </is>
      </c>
      <c r="C146" s="24" t="inlineStr">
        <is>
          <t>Canada</t>
        </is>
      </c>
      <c r="D146" s="16" t="n">
        <v>131</v>
      </c>
      <c r="E146" s="23" t="inlineStr">
        <is>
          <t>Survey</t>
        </is>
      </c>
      <c r="F146" s="32" t="n">
        <v>0.75</v>
      </c>
      <c r="G146" s="34" t="n">
        <v>45740</v>
      </c>
      <c r="H146" s="20" t="n"/>
    </row>
    <row r="147">
      <c r="B147" s="31" t="inlineStr">
        <is>
          <t>E137</t>
        </is>
      </c>
      <c r="C147" s="24" t="inlineStr">
        <is>
          <t>India</t>
        </is>
      </c>
      <c r="D147" s="16" t="n">
        <v>242</v>
      </c>
      <c r="E147" s="23" t="inlineStr">
        <is>
          <t>Survey</t>
        </is>
      </c>
      <c r="F147" s="32" t="n">
        <v>0.75</v>
      </c>
      <c r="G147" s="34" t="n">
        <v>45742</v>
      </c>
      <c r="H147" s="20" t="n"/>
    </row>
    <row r="148">
      <c r="B148" s="31" t="inlineStr">
        <is>
          <t>E138</t>
        </is>
      </c>
      <c r="C148" s="24" t="inlineStr">
        <is>
          <t>Germany</t>
        </is>
      </c>
      <c r="D148" s="16" t="n">
        <v>199</v>
      </c>
      <c r="E148" s="23" t="inlineStr">
        <is>
          <t>Interview</t>
        </is>
      </c>
      <c r="F148" s="32" t="n">
        <v>1</v>
      </c>
      <c r="G148" s="34" t="n">
        <v>45742</v>
      </c>
      <c r="H148" s="20" t="n"/>
    </row>
    <row r="149">
      <c r="B149" s="31" t="inlineStr">
        <is>
          <t>E139</t>
        </is>
      </c>
      <c r="C149" s="24" t="inlineStr">
        <is>
          <t>Canada</t>
        </is>
      </c>
      <c r="D149" s="16" t="n">
        <v>84</v>
      </c>
      <c r="E149" s="23" t="inlineStr">
        <is>
          <t>Survey</t>
        </is>
      </c>
      <c r="F149" s="32" t="n">
        <v>1</v>
      </c>
      <c r="G149" s="34" t="n">
        <v>45742</v>
      </c>
      <c r="H149" s="20" t="n"/>
    </row>
    <row r="150">
      <c r="B150" s="31" t="inlineStr">
        <is>
          <t>E140</t>
        </is>
      </c>
      <c r="C150" s="23" t="inlineStr">
        <is>
          <t>Australia</t>
        </is>
      </c>
      <c r="D150" s="16" t="n">
        <v>98</v>
      </c>
      <c r="E150" s="23" t="inlineStr">
        <is>
          <t>Interview</t>
        </is>
      </c>
      <c r="F150" s="32" t="n">
        <v>1</v>
      </c>
      <c r="G150" s="34" t="n">
        <v>45742</v>
      </c>
      <c r="H150" s="20" t="n"/>
    </row>
    <row r="151">
      <c r="B151" s="31" t="inlineStr">
        <is>
          <t>E141</t>
        </is>
      </c>
      <c r="C151" s="22" t="inlineStr">
        <is>
          <t>USA</t>
        </is>
      </c>
      <c r="D151" s="16" t="n">
        <v>80</v>
      </c>
      <c r="E151" s="23" t="inlineStr">
        <is>
          <t>Survey</t>
        </is>
      </c>
      <c r="F151" s="32" t="n">
        <v>0.5</v>
      </c>
      <c r="G151" s="34" t="n">
        <v>45742</v>
      </c>
      <c r="H151" s="20" t="n"/>
    </row>
    <row r="152">
      <c r="B152" s="31" t="inlineStr">
        <is>
          <t>E142</t>
        </is>
      </c>
      <c r="C152" s="24" t="inlineStr">
        <is>
          <t>India</t>
        </is>
      </c>
      <c r="D152" s="16" t="n">
        <v>90</v>
      </c>
      <c r="E152" s="23" t="inlineStr">
        <is>
          <t>Survey</t>
        </is>
      </c>
      <c r="F152" s="32" t="n">
        <v>0.25</v>
      </c>
      <c r="G152" s="34" t="n">
        <v>45742</v>
      </c>
      <c r="H152" s="20" t="n"/>
    </row>
    <row r="153">
      <c r="B153" s="31" t="inlineStr">
        <is>
          <t>E143</t>
        </is>
      </c>
      <c r="C153" s="24" t="inlineStr">
        <is>
          <t>UK</t>
        </is>
      </c>
      <c r="D153" s="16" t="n">
        <v>215</v>
      </c>
      <c r="E153" s="23" t="inlineStr">
        <is>
          <t>Survey</t>
        </is>
      </c>
      <c r="F153" s="32" t="n">
        <v>0.25</v>
      </c>
      <c r="G153" s="34" t="n">
        <v>45742</v>
      </c>
      <c r="H153" s="20" t="n"/>
    </row>
    <row r="154">
      <c r="B154" s="31" t="inlineStr">
        <is>
          <t>E144</t>
        </is>
      </c>
      <c r="C154" s="24" t="inlineStr">
        <is>
          <t>Australia</t>
        </is>
      </c>
      <c r="D154" s="16" t="n">
        <v>141</v>
      </c>
      <c r="E154" s="23" t="inlineStr">
        <is>
          <t>Interview</t>
        </is>
      </c>
      <c r="F154" s="32" t="n">
        <v>1</v>
      </c>
      <c r="G154" s="34" t="n">
        <v>45742</v>
      </c>
      <c r="H154" s="20" t="n"/>
    </row>
    <row r="155">
      <c r="B155" s="31" t="inlineStr">
        <is>
          <t>E145</t>
        </is>
      </c>
      <c r="C155" s="24" t="inlineStr">
        <is>
          <t>Spain</t>
        </is>
      </c>
      <c r="D155" s="16" t="n">
        <v>246</v>
      </c>
      <c r="E155" s="23" t="inlineStr">
        <is>
          <t>Interview</t>
        </is>
      </c>
      <c r="F155" s="32" t="n">
        <v>0.75</v>
      </c>
      <c r="G155" s="34" t="n">
        <v>45742</v>
      </c>
      <c r="H155" s="20" t="n"/>
    </row>
    <row r="156">
      <c r="B156" s="31" t="inlineStr">
        <is>
          <t>E146</t>
        </is>
      </c>
      <c r="C156" s="24" t="inlineStr">
        <is>
          <t>Netherlands</t>
        </is>
      </c>
      <c r="D156" s="16" t="n">
        <v>116</v>
      </c>
      <c r="E156" s="23" t="inlineStr">
        <is>
          <t>Survey</t>
        </is>
      </c>
      <c r="F156" s="32" t="n">
        <v>0.25</v>
      </c>
      <c r="G156" s="34" t="n">
        <v>45740</v>
      </c>
      <c r="H156" s="20" t="n"/>
    </row>
    <row r="157">
      <c r="B157" s="31" t="inlineStr">
        <is>
          <t>E147</t>
        </is>
      </c>
      <c r="C157" s="24" t="inlineStr">
        <is>
          <t>Germany</t>
        </is>
      </c>
      <c r="D157" s="16" t="n">
        <v>203</v>
      </c>
      <c r="E157" s="23" t="inlineStr">
        <is>
          <t>Interview</t>
        </is>
      </c>
      <c r="F157" s="32" t="n">
        <v>0.25</v>
      </c>
      <c r="G157" s="34" t="n">
        <v>45742</v>
      </c>
      <c r="H157" s="20" t="n"/>
    </row>
    <row r="158">
      <c r="B158" s="31" t="inlineStr">
        <is>
          <t>E148</t>
        </is>
      </c>
      <c r="C158" s="24" t="inlineStr">
        <is>
          <t>Canada</t>
        </is>
      </c>
      <c r="D158" s="16" t="n">
        <v>87</v>
      </c>
      <c r="E158" s="23" t="inlineStr">
        <is>
          <t>Interview</t>
        </is>
      </c>
      <c r="F158" s="32" t="n">
        <v>0.5</v>
      </c>
      <c r="G158" s="34" t="n">
        <v>45742</v>
      </c>
      <c r="H158" s="20" t="n"/>
    </row>
    <row r="159">
      <c r="B159" s="31" t="inlineStr">
        <is>
          <t>E149</t>
        </is>
      </c>
      <c r="C159" s="23" t="inlineStr">
        <is>
          <t>Australia</t>
        </is>
      </c>
      <c r="D159" s="16" t="n">
        <v>214</v>
      </c>
      <c r="E159" s="23" t="inlineStr">
        <is>
          <t>Interview</t>
        </is>
      </c>
      <c r="F159" s="32" t="n">
        <v>0.75</v>
      </c>
      <c r="G159" s="34" t="n">
        <v>45742</v>
      </c>
      <c r="H159" s="20" t="n"/>
    </row>
    <row r="160">
      <c r="B160" s="31" t="inlineStr">
        <is>
          <t>E150</t>
        </is>
      </c>
      <c r="C160" s="23" t="inlineStr">
        <is>
          <t>Australia</t>
        </is>
      </c>
      <c r="D160" s="16" t="n">
        <v>240</v>
      </c>
      <c r="E160" s="23" t="inlineStr">
        <is>
          <t>Survey</t>
        </is>
      </c>
      <c r="F160" s="32" t="n">
        <v>0.5</v>
      </c>
      <c r="G160" s="34" t="n">
        <v>45742</v>
      </c>
      <c r="H160" s="20" t="n"/>
    </row>
    <row r="161">
      <c r="B161" s="31" t="inlineStr">
        <is>
          <t>E151</t>
        </is>
      </c>
      <c r="C161" s="24" t="inlineStr">
        <is>
          <t>Spain</t>
        </is>
      </c>
      <c r="D161" s="16" t="n">
        <v>114</v>
      </c>
      <c r="E161" s="23" t="inlineStr">
        <is>
          <t>Survey</t>
        </is>
      </c>
      <c r="F161" s="32" t="n">
        <v>0.5</v>
      </c>
      <c r="G161" s="34" t="n">
        <v>45742</v>
      </c>
      <c r="H161" s="20" t="n"/>
    </row>
    <row r="162">
      <c r="B162" s="31" t="inlineStr">
        <is>
          <t>E152</t>
        </is>
      </c>
      <c r="C162" s="24" t="inlineStr">
        <is>
          <t>Netherlands</t>
        </is>
      </c>
      <c r="D162" s="16" t="n">
        <v>173</v>
      </c>
      <c r="E162" s="23" t="inlineStr">
        <is>
          <t>Survey</t>
        </is>
      </c>
      <c r="F162" s="32" t="n">
        <v>1</v>
      </c>
      <c r="G162" s="34" t="n">
        <v>45742</v>
      </c>
      <c r="H162" s="20" t="n"/>
    </row>
    <row r="163">
      <c r="B163" s="31" t="inlineStr">
        <is>
          <t>E153</t>
        </is>
      </c>
      <c r="C163" s="24" t="inlineStr">
        <is>
          <t>Germany</t>
        </is>
      </c>
      <c r="D163" s="16" t="n">
        <v>108</v>
      </c>
      <c r="E163" s="23" t="inlineStr">
        <is>
          <t>Interview</t>
        </is>
      </c>
      <c r="F163" s="32" t="n">
        <v>0.75</v>
      </c>
      <c r="G163" s="34" t="n">
        <v>45742</v>
      </c>
      <c r="H163" s="20" t="n"/>
    </row>
    <row r="164">
      <c r="B164" s="31" t="inlineStr">
        <is>
          <t>E154</t>
        </is>
      </c>
      <c r="C164" s="24" t="inlineStr">
        <is>
          <t>Canada</t>
        </is>
      </c>
      <c r="D164" s="16" t="n">
        <v>144</v>
      </c>
      <c r="E164" s="23" t="inlineStr">
        <is>
          <t>Survey</t>
        </is>
      </c>
      <c r="F164" s="32" t="n">
        <v>0.75</v>
      </c>
      <c r="G164" s="34" t="n">
        <v>45742</v>
      </c>
      <c r="H164" s="20" t="n"/>
    </row>
    <row r="165">
      <c r="B165" s="31" t="inlineStr">
        <is>
          <t>E155</t>
        </is>
      </c>
      <c r="C165" s="24" t="inlineStr">
        <is>
          <t>India</t>
        </is>
      </c>
      <c r="D165" s="16" t="n">
        <v>81</v>
      </c>
      <c r="E165" s="23" t="inlineStr">
        <is>
          <t>Interview</t>
        </is>
      </c>
      <c r="F165" s="32" t="n">
        <v>1</v>
      </c>
      <c r="G165" s="34" t="n">
        <v>45742</v>
      </c>
      <c r="H165" s="20" t="n"/>
    </row>
    <row r="166">
      <c r="B166" s="31" t="inlineStr">
        <is>
          <t>E156</t>
        </is>
      </c>
      <c r="C166" s="16" t="inlineStr">
        <is>
          <t>USA</t>
        </is>
      </c>
      <c r="D166" s="16" t="n">
        <v>174</v>
      </c>
      <c r="E166" s="23" t="inlineStr">
        <is>
          <t>Survey</t>
        </is>
      </c>
      <c r="F166" s="32" t="n">
        <v>1</v>
      </c>
      <c r="G166" s="34" t="n">
        <v>45742</v>
      </c>
      <c r="H166" s="20" t="n"/>
    </row>
    <row r="167">
      <c r="B167" s="31" t="inlineStr">
        <is>
          <t>E157</t>
        </is>
      </c>
      <c r="C167" s="16" t="inlineStr">
        <is>
          <t>USA</t>
        </is>
      </c>
      <c r="D167" s="16" t="n">
        <v>174</v>
      </c>
      <c r="E167" s="23" t="inlineStr">
        <is>
          <t>Survey</t>
        </is>
      </c>
      <c r="F167" s="32" t="n">
        <v>1</v>
      </c>
      <c r="G167" s="34" t="n">
        <v>45742</v>
      </c>
      <c r="H167" s="20" t="n"/>
    </row>
    <row r="168">
      <c r="B168" s="31" t="inlineStr">
        <is>
          <t>E158</t>
        </is>
      </c>
      <c r="C168" s="16" t="inlineStr">
        <is>
          <t>USA</t>
        </is>
      </c>
      <c r="D168" s="16" t="n">
        <v>166</v>
      </c>
      <c r="E168" s="23" t="inlineStr">
        <is>
          <t>Survey</t>
        </is>
      </c>
      <c r="F168" s="32" t="n">
        <v>0.5</v>
      </c>
      <c r="G168" s="34" t="n">
        <v>45742</v>
      </c>
      <c r="H168" s="20" t="n"/>
    </row>
    <row r="169">
      <c r="B169" s="31" t="inlineStr">
        <is>
          <t>E159</t>
        </is>
      </c>
      <c r="C169" s="16" t="inlineStr">
        <is>
          <t>USA</t>
        </is>
      </c>
      <c r="D169" s="16" t="n">
        <v>235</v>
      </c>
      <c r="E169" s="23" t="inlineStr">
        <is>
          <t>Interview</t>
        </is>
      </c>
      <c r="F169" s="32" t="n">
        <v>0.25</v>
      </c>
      <c r="G169" s="34" t="n">
        <v>45742</v>
      </c>
      <c r="H169" s="20" t="n"/>
    </row>
    <row r="170">
      <c r="B170" s="31" t="inlineStr">
        <is>
          <t>E160</t>
        </is>
      </c>
      <c r="C170" s="16" t="inlineStr">
        <is>
          <t>USA</t>
        </is>
      </c>
      <c r="D170" s="16" t="n">
        <v>115</v>
      </c>
      <c r="E170" s="23" t="inlineStr">
        <is>
          <t>Interview</t>
        </is>
      </c>
      <c r="F170" s="32" t="n">
        <v>0.25</v>
      </c>
      <c r="G170" s="34" t="n">
        <v>45742</v>
      </c>
      <c r="H170" s="20" t="n"/>
    </row>
    <row r="171">
      <c r="B171" s="31" t="inlineStr">
        <is>
          <t>E161</t>
        </is>
      </c>
      <c r="C171" s="16" t="inlineStr">
        <is>
          <t>USA</t>
        </is>
      </c>
      <c r="D171" s="16" t="n">
        <v>89</v>
      </c>
      <c r="E171" s="23" t="inlineStr">
        <is>
          <t>Survey</t>
        </is>
      </c>
      <c r="F171" s="32" t="n">
        <v>1</v>
      </c>
      <c r="G171" s="34" t="n">
        <v>45742</v>
      </c>
      <c r="H171" s="20" t="n"/>
    </row>
    <row r="172">
      <c r="B172" s="31" t="inlineStr">
        <is>
          <t>E162</t>
        </is>
      </c>
      <c r="C172" s="16" t="inlineStr">
        <is>
          <t>USA</t>
        </is>
      </c>
      <c r="D172" s="16" t="n">
        <v>150</v>
      </c>
      <c r="E172" s="23" t="inlineStr">
        <is>
          <t>Interview</t>
        </is>
      </c>
      <c r="F172" s="32" t="n">
        <v>0.75</v>
      </c>
      <c r="G172" s="34" t="n">
        <v>45742</v>
      </c>
      <c r="H172" s="20" t="n"/>
    </row>
    <row r="173">
      <c r="B173" s="31" t="inlineStr">
        <is>
          <t>E163</t>
        </is>
      </c>
      <c r="C173" s="16" t="inlineStr">
        <is>
          <t>India</t>
        </is>
      </c>
      <c r="D173" s="16" t="n">
        <v>81</v>
      </c>
      <c r="E173" s="23" t="inlineStr">
        <is>
          <t>Interview</t>
        </is>
      </c>
      <c r="F173" s="32" t="n">
        <v>0.25</v>
      </c>
      <c r="G173" s="34" t="n">
        <v>45742</v>
      </c>
      <c r="H173" s="20" t="n"/>
    </row>
    <row r="174">
      <c r="B174" s="31" t="inlineStr">
        <is>
          <t>E164</t>
        </is>
      </c>
      <c r="C174" s="16" t="inlineStr">
        <is>
          <t>India</t>
        </is>
      </c>
      <c r="D174" s="16" t="n">
        <v>154</v>
      </c>
      <c r="E174" s="23" t="inlineStr">
        <is>
          <t>Interview</t>
        </is>
      </c>
      <c r="F174" s="32" t="n">
        <v>0.25</v>
      </c>
      <c r="G174" s="34" t="n">
        <v>45741</v>
      </c>
      <c r="H174" s="20" t="n"/>
    </row>
    <row r="175">
      <c r="B175" s="31" t="inlineStr">
        <is>
          <t>E165</t>
        </is>
      </c>
      <c r="C175" s="16" t="inlineStr">
        <is>
          <t>India</t>
        </is>
      </c>
      <c r="D175" s="16" t="n">
        <v>144</v>
      </c>
      <c r="E175" s="23" t="inlineStr">
        <is>
          <t>Survey</t>
        </is>
      </c>
      <c r="F175" s="32" t="n">
        <v>0.5</v>
      </c>
      <c r="G175" s="34" t="n">
        <v>45742</v>
      </c>
      <c r="H175" s="20" t="n"/>
    </row>
    <row r="176">
      <c r="B176" s="31" t="inlineStr">
        <is>
          <t>E166</t>
        </is>
      </c>
      <c r="C176" s="16" t="inlineStr">
        <is>
          <t>India</t>
        </is>
      </c>
      <c r="D176" s="16" t="n">
        <v>141</v>
      </c>
      <c r="E176" s="23" t="inlineStr">
        <is>
          <t>Survey</t>
        </is>
      </c>
      <c r="F176" s="32" t="n">
        <v>0.75</v>
      </c>
      <c r="G176" s="34" t="n">
        <v>45740</v>
      </c>
      <c r="H176" s="20" t="n"/>
    </row>
    <row r="177">
      <c r="B177" s="31" t="inlineStr">
        <is>
          <t>E167</t>
        </is>
      </c>
      <c r="C177" s="16" t="inlineStr">
        <is>
          <t>India</t>
        </is>
      </c>
      <c r="D177" s="16" t="n">
        <v>230</v>
      </c>
      <c r="E177" s="23" t="inlineStr">
        <is>
          <t>Survey</t>
        </is>
      </c>
      <c r="F177" s="32" t="n">
        <v>0.5</v>
      </c>
      <c r="G177" s="34" t="n">
        <v>45742</v>
      </c>
      <c r="H177" s="20" t="n"/>
    </row>
    <row r="178">
      <c r="B178" s="31" t="inlineStr">
        <is>
          <t>E168</t>
        </is>
      </c>
      <c r="C178" s="16" t="inlineStr">
        <is>
          <t>India</t>
        </is>
      </c>
      <c r="D178" s="16" t="n">
        <v>181</v>
      </c>
      <c r="E178" s="23" t="inlineStr">
        <is>
          <t>Interview</t>
        </is>
      </c>
      <c r="F178" s="32" t="n">
        <v>0.5</v>
      </c>
      <c r="G178" s="34" t="n">
        <v>45747</v>
      </c>
      <c r="H178" s="20" t="n"/>
    </row>
    <row r="179">
      <c r="B179" s="31" t="inlineStr">
        <is>
          <t>E169</t>
        </is>
      </c>
      <c r="C179" s="16" t="inlineStr">
        <is>
          <t>India</t>
        </is>
      </c>
      <c r="D179" s="16" t="n">
        <v>159</v>
      </c>
      <c r="E179" s="23" t="inlineStr">
        <is>
          <t>Survey</t>
        </is>
      </c>
      <c r="F179" s="32" t="n">
        <v>1</v>
      </c>
      <c r="G179" s="34" t="n">
        <v>45746</v>
      </c>
      <c r="H179" s="20" t="n"/>
    </row>
    <row r="180">
      <c r="B180" s="31" t="inlineStr">
        <is>
          <t>E170</t>
        </is>
      </c>
      <c r="C180" s="16" t="inlineStr">
        <is>
          <t>Germany</t>
        </is>
      </c>
      <c r="D180" s="16" t="n">
        <v>215</v>
      </c>
      <c r="E180" s="23" t="inlineStr">
        <is>
          <t>Interview</t>
        </is>
      </c>
      <c r="F180" s="32" t="n">
        <v>0.75</v>
      </c>
      <c r="G180" s="34" t="n">
        <v>45745</v>
      </c>
      <c r="H180" s="20" t="n"/>
    </row>
    <row r="181">
      <c r="B181" s="31" t="inlineStr">
        <is>
          <t>E171</t>
        </is>
      </c>
      <c r="C181" s="16" t="inlineStr">
        <is>
          <t>Germany</t>
        </is>
      </c>
      <c r="D181" s="16" t="n">
        <v>81</v>
      </c>
      <c r="E181" s="23" t="inlineStr">
        <is>
          <t>Survey</t>
        </is>
      </c>
      <c r="F181" s="32" t="n">
        <v>0.75</v>
      </c>
      <c r="G181" s="34" t="n">
        <v>45742</v>
      </c>
      <c r="H181" s="20" t="n"/>
    </row>
    <row r="182">
      <c r="B182" s="31" t="inlineStr">
        <is>
          <t>E172</t>
        </is>
      </c>
      <c r="C182" s="16" t="inlineStr">
        <is>
          <t>Netherlands</t>
        </is>
      </c>
      <c r="D182" s="16" t="n">
        <v>215</v>
      </c>
      <c r="E182" s="23" t="inlineStr">
        <is>
          <t>Survey</t>
        </is>
      </c>
      <c r="F182" s="32" t="n">
        <v>1</v>
      </c>
      <c r="G182" s="34" t="n">
        <v>45742</v>
      </c>
      <c r="H182" s="20" t="n"/>
    </row>
    <row r="183">
      <c r="B183" s="31" t="inlineStr">
        <is>
          <t>E173</t>
        </is>
      </c>
      <c r="C183" s="23" t="inlineStr">
        <is>
          <t>Germany</t>
        </is>
      </c>
      <c r="D183" s="16" t="n">
        <v>170</v>
      </c>
      <c r="E183" s="23" t="inlineStr">
        <is>
          <t>Survey</t>
        </is>
      </c>
      <c r="F183" s="32" t="n">
        <v>1</v>
      </c>
      <c r="G183" s="34" t="n">
        <v>45742</v>
      </c>
      <c r="H183" s="20" t="n"/>
    </row>
    <row r="184">
      <c r="B184" s="31" t="inlineStr">
        <is>
          <t>E174</t>
        </is>
      </c>
      <c r="C184" s="16" t="inlineStr">
        <is>
          <t>USA</t>
        </is>
      </c>
      <c r="D184" s="16" t="n">
        <v>140</v>
      </c>
      <c r="E184" s="23" t="inlineStr">
        <is>
          <t>Interview</t>
        </is>
      </c>
      <c r="F184" s="32" t="n">
        <v>1</v>
      </c>
      <c r="G184" s="34" t="n">
        <v>45742</v>
      </c>
      <c r="H184" s="20" t="n"/>
    </row>
    <row r="185">
      <c r="B185" s="31" t="inlineStr">
        <is>
          <t>E175</t>
        </is>
      </c>
      <c r="C185" s="16" t="inlineStr">
        <is>
          <t>USA</t>
        </is>
      </c>
      <c r="D185" s="16" t="n">
        <v>248</v>
      </c>
      <c r="E185" s="23" t="inlineStr">
        <is>
          <t>Interview</t>
        </is>
      </c>
      <c r="F185" s="32" t="n">
        <v>0.5</v>
      </c>
      <c r="G185" s="34" t="n">
        <v>45742</v>
      </c>
      <c r="H185" s="20" t="n"/>
    </row>
    <row r="186">
      <c r="B186" s="31" t="inlineStr">
        <is>
          <t>E176</t>
        </is>
      </c>
      <c r="C186" s="16" t="inlineStr">
        <is>
          <t>USA</t>
        </is>
      </c>
      <c r="D186" s="16" t="n">
        <v>161</v>
      </c>
      <c r="E186" s="23" t="inlineStr">
        <is>
          <t>Survey</t>
        </is>
      </c>
      <c r="F186" s="32" t="n">
        <v>0.25</v>
      </c>
      <c r="G186" s="34" t="n">
        <v>45742</v>
      </c>
      <c r="H186" s="20" t="n"/>
    </row>
    <row r="187">
      <c r="B187" s="31" t="inlineStr">
        <is>
          <t>E177</t>
        </is>
      </c>
      <c r="C187" s="16" t="inlineStr">
        <is>
          <t>Netherlands</t>
        </is>
      </c>
      <c r="D187" s="16" t="n">
        <v>162</v>
      </c>
      <c r="E187" s="23" t="inlineStr">
        <is>
          <t>Interview</t>
        </is>
      </c>
      <c r="F187" s="32" t="n">
        <v>0.25</v>
      </c>
      <c r="G187" s="34" t="n">
        <v>45742</v>
      </c>
      <c r="H187" s="20" t="n"/>
    </row>
    <row r="188">
      <c r="B188" s="31" t="inlineStr">
        <is>
          <t>E178</t>
        </is>
      </c>
      <c r="C188" s="23" t="inlineStr">
        <is>
          <t>Germany</t>
        </is>
      </c>
      <c r="D188" s="16" t="n">
        <v>146</v>
      </c>
      <c r="E188" s="23" t="inlineStr">
        <is>
          <t>Interview</t>
        </is>
      </c>
      <c r="F188" s="32" t="n">
        <v>1</v>
      </c>
      <c r="G188" s="34" t="n">
        <v>45742</v>
      </c>
      <c r="H188" s="20" t="n"/>
    </row>
    <row r="189">
      <c r="B189" s="31" t="inlineStr">
        <is>
          <t>E179</t>
        </is>
      </c>
      <c r="C189" s="16" t="inlineStr">
        <is>
          <t>Netherlands</t>
        </is>
      </c>
      <c r="D189" s="16" t="n">
        <v>155</v>
      </c>
      <c r="E189" s="23" t="inlineStr">
        <is>
          <t>Interview</t>
        </is>
      </c>
      <c r="F189" s="32" t="n">
        <v>0.75</v>
      </c>
      <c r="G189" s="34" t="n">
        <v>45742</v>
      </c>
      <c r="H189" s="20" t="n"/>
    </row>
    <row r="190">
      <c r="B190" s="31" t="inlineStr">
        <is>
          <t>E180</t>
        </is>
      </c>
      <c r="C190" s="23" t="inlineStr">
        <is>
          <t>Germany</t>
        </is>
      </c>
      <c r="D190" s="16" t="n">
        <v>148</v>
      </c>
      <c r="E190" s="23" t="inlineStr">
        <is>
          <t>Survey</t>
        </is>
      </c>
      <c r="F190" s="32" t="n">
        <v>0.25</v>
      </c>
      <c r="G190" s="34" t="n">
        <v>45742</v>
      </c>
      <c r="H190" s="20" t="n"/>
    </row>
    <row r="191">
      <c r="B191" s="31" t="inlineStr">
        <is>
          <t>E181</t>
        </is>
      </c>
      <c r="C191" s="16" t="inlineStr">
        <is>
          <t>Netherlands</t>
        </is>
      </c>
      <c r="D191" s="16" t="n">
        <v>158</v>
      </c>
      <c r="E191" s="23" t="inlineStr">
        <is>
          <t>Survey</t>
        </is>
      </c>
      <c r="F191" s="32" t="n">
        <v>0.25</v>
      </c>
      <c r="G191" s="34" t="n">
        <v>45742</v>
      </c>
      <c r="H191" s="20" t="n"/>
    </row>
    <row r="192">
      <c r="B192" s="31" t="inlineStr">
        <is>
          <t>E182</t>
        </is>
      </c>
      <c r="C192" s="23" t="inlineStr">
        <is>
          <t>Germany</t>
        </is>
      </c>
      <c r="D192" s="16" t="n">
        <v>85</v>
      </c>
      <c r="E192" s="23" t="inlineStr">
        <is>
          <t>Survey</t>
        </is>
      </c>
      <c r="F192" s="32" t="n">
        <v>0.5</v>
      </c>
      <c r="G192" s="34" t="n">
        <v>45742</v>
      </c>
      <c r="H192" s="20" t="n"/>
    </row>
    <row r="193">
      <c r="B193" s="31" t="inlineStr">
        <is>
          <t>E183</t>
        </is>
      </c>
      <c r="C193" s="16" t="inlineStr">
        <is>
          <t>Netherlands</t>
        </is>
      </c>
      <c r="D193" s="16" t="n">
        <v>244</v>
      </c>
      <c r="E193" s="23" t="inlineStr">
        <is>
          <t>Interview</t>
        </is>
      </c>
      <c r="F193" s="32" t="n">
        <v>0.75</v>
      </c>
      <c r="G193" s="34" t="n">
        <v>45742</v>
      </c>
      <c r="H193" s="20" t="n"/>
    </row>
    <row r="194">
      <c r="B194" s="31" t="inlineStr">
        <is>
          <t>E184</t>
        </is>
      </c>
      <c r="C194" s="23" t="inlineStr">
        <is>
          <t>Germany</t>
        </is>
      </c>
      <c r="D194" s="16" t="n">
        <v>157</v>
      </c>
      <c r="E194" s="23" t="inlineStr">
        <is>
          <t>Survey</t>
        </is>
      </c>
      <c r="F194" s="32" t="n">
        <v>0.5</v>
      </c>
      <c r="G194" s="34" t="n">
        <v>45742</v>
      </c>
      <c r="H194" s="20" t="n"/>
    </row>
    <row r="195">
      <c r="B195" s="31" t="inlineStr">
        <is>
          <t>E185</t>
        </is>
      </c>
      <c r="C195" s="16" t="inlineStr">
        <is>
          <t>Netherlands</t>
        </is>
      </c>
      <c r="D195" s="16" t="n">
        <v>118</v>
      </c>
      <c r="E195" s="23" t="inlineStr">
        <is>
          <t>Interview</t>
        </is>
      </c>
      <c r="F195" s="32" t="n">
        <v>0.5</v>
      </c>
      <c r="G195" s="34" t="n">
        <v>45741</v>
      </c>
      <c r="H195" s="20" t="n"/>
    </row>
    <row r="196">
      <c r="B196" s="31" t="inlineStr">
        <is>
          <t>E186</t>
        </is>
      </c>
      <c r="C196" s="23" t="inlineStr">
        <is>
          <t>Germany</t>
        </is>
      </c>
      <c r="D196" s="16" t="n">
        <v>248</v>
      </c>
      <c r="E196" s="23" t="inlineStr">
        <is>
          <t>Survey</t>
        </is>
      </c>
      <c r="F196" s="32" t="n">
        <v>1</v>
      </c>
      <c r="G196" s="34" t="n">
        <v>45741</v>
      </c>
      <c r="H196" s="20" t="n"/>
    </row>
    <row r="197">
      <c r="B197" s="31" t="inlineStr">
        <is>
          <t>E187</t>
        </is>
      </c>
      <c r="C197" s="16" t="inlineStr">
        <is>
          <t>India</t>
        </is>
      </c>
      <c r="D197" s="16" t="n">
        <v>231</v>
      </c>
      <c r="E197" s="23" t="inlineStr">
        <is>
          <t>Survey</t>
        </is>
      </c>
      <c r="F197" s="32" t="n">
        <v>0.75</v>
      </c>
      <c r="G197" s="34" t="n">
        <v>45741</v>
      </c>
      <c r="H197" s="20" t="n"/>
    </row>
    <row r="198">
      <c r="B198" s="31" t="inlineStr">
        <is>
          <t>E188</t>
        </is>
      </c>
      <c r="C198" s="16" t="inlineStr">
        <is>
          <t>Spain</t>
        </is>
      </c>
      <c r="D198" s="16" t="n">
        <v>196</v>
      </c>
      <c r="E198" s="23" t="inlineStr">
        <is>
          <t>Survey</t>
        </is>
      </c>
      <c r="F198" s="32" t="n">
        <v>0.75</v>
      </c>
      <c r="G198" s="34" t="n">
        <v>45741</v>
      </c>
      <c r="H198" s="20" t="n"/>
    </row>
    <row r="199">
      <c r="B199" s="31" t="inlineStr">
        <is>
          <t>E189</t>
        </is>
      </c>
      <c r="C199" s="16" t="inlineStr">
        <is>
          <t>Canada</t>
        </is>
      </c>
      <c r="D199" s="16" t="n">
        <v>209</v>
      </c>
      <c r="E199" s="23" t="inlineStr">
        <is>
          <t>Interview</t>
        </is>
      </c>
      <c r="F199" s="32" t="n">
        <v>1</v>
      </c>
      <c r="G199" s="34" t="n">
        <v>45741</v>
      </c>
      <c r="H199" s="20" t="n"/>
    </row>
    <row r="200">
      <c r="B200" s="31" t="inlineStr">
        <is>
          <t>E190</t>
        </is>
      </c>
      <c r="C200" s="16" t="inlineStr">
        <is>
          <t>Australia</t>
        </is>
      </c>
      <c r="D200" s="16" t="n">
        <v>149</v>
      </c>
      <c r="E200" s="23" t="inlineStr">
        <is>
          <t>Interview</t>
        </is>
      </c>
      <c r="F200" s="32" t="n">
        <v>1</v>
      </c>
      <c r="G200" s="34" t="n">
        <v>45741</v>
      </c>
      <c r="H200" s="20" t="n"/>
    </row>
    <row r="201">
      <c r="B201" s="31" t="inlineStr">
        <is>
          <t>E191</t>
        </is>
      </c>
      <c r="C201" s="22" t="inlineStr">
        <is>
          <t>USA</t>
        </is>
      </c>
      <c r="D201" s="16" t="n">
        <v>215</v>
      </c>
      <c r="E201" s="23" t="inlineStr">
        <is>
          <t>Survey</t>
        </is>
      </c>
      <c r="F201" s="32" t="n">
        <v>1</v>
      </c>
      <c r="G201" s="34" t="n">
        <v>45741</v>
      </c>
      <c r="H201" s="20" t="n"/>
    </row>
    <row r="202">
      <c r="B202" s="31" t="inlineStr">
        <is>
          <t>E192</t>
        </is>
      </c>
      <c r="C202" s="24" t="inlineStr">
        <is>
          <t>India</t>
        </is>
      </c>
      <c r="D202" s="16" t="n">
        <v>128</v>
      </c>
      <c r="E202" s="23" t="inlineStr">
        <is>
          <t>Interview</t>
        </is>
      </c>
      <c r="F202" s="32" t="n">
        <v>0.5</v>
      </c>
      <c r="G202" s="34" t="n">
        <v>45741</v>
      </c>
      <c r="H202" s="20" t="n"/>
    </row>
    <row r="203">
      <c r="B203" s="31" t="inlineStr">
        <is>
          <t>E193</t>
        </is>
      </c>
      <c r="C203" s="24" t="inlineStr">
        <is>
          <t>UK</t>
        </is>
      </c>
      <c r="D203" s="16" t="n">
        <v>108</v>
      </c>
      <c r="E203" s="23" t="inlineStr">
        <is>
          <t>Interview</t>
        </is>
      </c>
      <c r="F203" s="32" t="n">
        <v>0.25</v>
      </c>
      <c r="G203" s="34" t="n">
        <v>45741</v>
      </c>
      <c r="H203" s="20" t="n"/>
    </row>
    <row r="204">
      <c r="B204" s="31" t="inlineStr">
        <is>
          <t>E194</t>
        </is>
      </c>
      <c r="C204" s="24" t="inlineStr">
        <is>
          <t>Australia</t>
        </is>
      </c>
      <c r="D204" s="16" t="n">
        <v>235</v>
      </c>
      <c r="E204" s="23" t="inlineStr">
        <is>
          <t>Interview</t>
        </is>
      </c>
      <c r="F204" s="32" t="n">
        <v>0.25</v>
      </c>
      <c r="G204" s="34" t="n">
        <v>45741</v>
      </c>
      <c r="H204" s="20" t="n"/>
    </row>
    <row r="205">
      <c r="B205" s="31" t="inlineStr">
        <is>
          <t>E195</t>
        </is>
      </c>
      <c r="C205" s="24" t="inlineStr">
        <is>
          <t>Spain</t>
        </is>
      </c>
      <c r="D205" s="16" t="n">
        <v>153</v>
      </c>
      <c r="E205" s="23" t="inlineStr">
        <is>
          <t>Survey</t>
        </is>
      </c>
      <c r="F205" s="32" t="n">
        <v>1</v>
      </c>
      <c r="G205" s="34" t="n">
        <v>45741</v>
      </c>
      <c r="H205" s="20" t="n"/>
    </row>
    <row r="206">
      <c r="B206" s="31" t="inlineStr">
        <is>
          <t>E196</t>
        </is>
      </c>
      <c r="C206" s="24" t="inlineStr">
        <is>
          <t>Netherlands</t>
        </is>
      </c>
      <c r="D206" s="16" t="n">
        <v>88</v>
      </c>
      <c r="E206" s="23" t="inlineStr">
        <is>
          <t>Survey</t>
        </is>
      </c>
      <c r="F206" s="32" t="n">
        <v>0.75</v>
      </c>
      <c r="G206" s="34" t="n">
        <v>45741</v>
      </c>
      <c r="H206" s="20" t="n"/>
    </row>
    <row r="207">
      <c r="B207" s="31" t="inlineStr">
        <is>
          <t>E197</t>
        </is>
      </c>
      <c r="C207" s="24" t="inlineStr">
        <is>
          <t>Germany</t>
        </is>
      </c>
      <c r="D207" s="16" t="n">
        <v>193</v>
      </c>
      <c r="E207" s="23" t="inlineStr">
        <is>
          <t>Survey</t>
        </is>
      </c>
      <c r="F207" s="32" t="n">
        <v>0.25</v>
      </c>
      <c r="G207" s="34" t="n">
        <v>45741</v>
      </c>
      <c r="H207" s="20" t="n"/>
    </row>
    <row r="208">
      <c r="B208" s="31" t="inlineStr">
        <is>
          <t>E198</t>
        </is>
      </c>
      <c r="C208" s="24" t="inlineStr">
        <is>
          <t>Canada</t>
        </is>
      </c>
      <c r="D208" s="16" t="n">
        <v>169</v>
      </c>
      <c r="E208" s="23" t="inlineStr">
        <is>
          <t>Interview</t>
        </is>
      </c>
      <c r="F208" s="32" t="n">
        <v>0.25</v>
      </c>
      <c r="G208" s="34" t="n">
        <v>45742</v>
      </c>
      <c r="H208" s="20" t="n"/>
    </row>
    <row r="209">
      <c r="B209" s="31" t="inlineStr">
        <is>
          <t>E199</t>
        </is>
      </c>
      <c r="C209" s="22" t="inlineStr">
        <is>
          <t>USA</t>
        </is>
      </c>
      <c r="D209" s="16" t="n">
        <v>164</v>
      </c>
      <c r="E209" s="23" t="inlineStr">
        <is>
          <t>Survey</t>
        </is>
      </c>
      <c r="F209" s="32" t="n">
        <v>0.5</v>
      </c>
      <c r="G209" s="34" t="n">
        <v>45740</v>
      </c>
      <c r="H209" s="20" t="n"/>
    </row>
    <row r="210">
      <c r="B210" s="31" t="inlineStr">
        <is>
          <t>E200</t>
        </is>
      </c>
      <c r="C210" s="24" t="inlineStr">
        <is>
          <t>India</t>
        </is>
      </c>
      <c r="D210" s="16" t="n">
        <v>243</v>
      </c>
      <c r="E210" s="23" t="inlineStr">
        <is>
          <t>Interview</t>
        </is>
      </c>
      <c r="F210" s="32" t="n">
        <v>0.75</v>
      </c>
      <c r="G210" s="34" t="n">
        <v>45742</v>
      </c>
      <c r="H210" s="20" t="n"/>
    </row>
    <row r="211">
      <c r="B211" s="31" t="inlineStr">
        <is>
          <t>E201</t>
        </is>
      </c>
      <c r="C211" s="24" t="inlineStr">
        <is>
          <t>UK</t>
        </is>
      </c>
      <c r="D211" s="16" t="n">
        <v>90</v>
      </c>
      <c r="E211" s="23" t="inlineStr">
        <is>
          <t>Survey</t>
        </is>
      </c>
      <c r="F211" s="32" t="n">
        <v>0.5</v>
      </c>
      <c r="G211" s="34" t="n">
        <v>45747</v>
      </c>
      <c r="H211" s="20" t="n"/>
    </row>
    <row r="212">
      <c r="B212" s="31" t="inlineStr">
        <is>
          <t>E202</t>
        </is>
      </c>
      <c r="C212" s="24" t="inlineStr">
        <is>
          <t>Australia</t>
        </is>
      </c>
      <c r="D212" s="16" t="n">
        <v>225</v>
      </c>
      <c r="E212" s="23" t="inlineStr">
        <is>
          <t>Survey</t>
        </is>
      </c>
      <c r="F212" s="32" t="n">
        <v>0.5</v>
      </c>
      <c r="G212" s="34" t="n">
        <v>45746</v>
      </c>
      <c r="H212" s="20" t="n"/>
    </row>
    <row r="213">
      <c r="B213" s="31" t="inlineStr">
        <is>
          <t>E203</t>
        </is>
      </c>
      <c r="C213" s="24" t="inlineStr">
        <is>
          <t>Spain</t>
        </is>
      </c>
      <c r="D213" s="16" t="n">
        <v>93</v>
      </c>
      <c r="E213" s="23" t="inlineStr">
        <is>
          <t>Survey</t>
        </is>
      </c>
      <c r="F213" s="32" t="n">
        <v>1</v>
      </c>
      <c r="G213" s="34" t="n">
        <v>45745</v>
      </c>
      <c r="H213" s="20" t="n"/>
    </row>
    <row r="214">
      <c r="B214" s="31" t="inlineStr">
        <is>
          <t>E204</t>
        </is>
      </c>
      <c r="C214" s="24" t="inlineStr">
        <is>
          <t>Netherlands</t>
        </is>
      </c>
      <c r="D214" s="16" t="n">
        <v>242</v>
      </c>
      <c r="E214" s="23" t="inlineStr">
        <is>
          <t>Interview</t>
        </is>
      </c>
      <c r="F214" s="32" t="n">
        <v>0.75</v>
      </c>
      <c r="G214" s="34" t="n">
        <v>45747</v>
      </c>
      <c r="H214" s="20" t="n"/>
    </row>
    <row r="215">
      <c r="B215" s="31" t="inlineStr">
        <is>
          <t>E205</t>
        </is>
      </c>
      <c r="C215" s="24" t="inlineStr">
        <is>
          <t>Germany</t>
        </is>
      </c>
      <c r="D215" s="16" t="n">
        <v>178</v>
      </c>
      <c r="E215" s="23" t="inlineStr">
        <is>
          <t>Interview</t>
        </is>
      </c>
      <c r="F215" s="33" t="n">
        <v>0.25</v>
      </c>
      <c r="G215" s="34" t="n">
        <v>45742</v>
      </c>
      <c r="H215" s="20" t="n"/>
    </row>
    <row r="216">
      <c r="B216" s="31" t="inlineStr">
        <is>
          <t>E206</t>
        </is>
      </c>
      <c r="C216" s="24" t="inlineStr">
        <is>
          <t>Canada</t>
        </is>
      </c>
      <c r="D216" s="16" t="n">
        <v>225</v>
      </c>
      <c r="E216" s="23" t="inlineStr">
        <is>
          <t>Survey</t>
        </is>
      </c>
      <c r="F216" s="33" t="n">
        <v>0.5</v>
      </c>
      <c r="G216" s="34" t="n">
        <v>45736</v>
      </c>
      <c r="H216" s="20" t="n"/>
    </row>
    <row r="217">
      <c r="B217" s="31" t="inlineStr">
        <is>
          <t>E207</t>
        </is>
      </c>
      <c r="C217" s="16" t="inlineStr">
        <is>
          <t>Netherlands</t>
        </is>
      </c>
      <c r="D217" s="16" t="n">
        <v>125</v>
      </c>
      <c r="E217" s="23" t="inlineStr">
        <is>
          <t>Interview</t>
        </is>
      </c>
      <c r="F217" s="33" t="n">
        <v>0.5</v>
      </c>
      <c r="G217" s="34" t="n">
        <v>45741</v>
      </c>
      <c r="H217" s="20" t="n"/>
    </row>
    <row r="218">
      <c r="E218" s="20" t="n"/>
    </row>
    <row r="219">
      <c r="E219" s="20" t="n"/>
    </row>
    <row r="220">
      <c r="E220" s="20" t="n"/>
    </row>
    <row r="221">
      <c r="E221" s="20" t="n"/>
    </row>
    <row r="222">
      <c r="E222" s="20" t="n"/>
    </row>
  </sheetData>
  <mergeCells count="4">
    <mergeCell ref="B5:M5"/>
    <mergeCell ref="B7:M7"/>
    <mergeCell ref="B9:G9"/>
    <mergeCell ref="I9:L9"/>
  </mergeCells>
  <printOptions horizontalCentered="1"/>
  <pageMargins left="0.7086614173228347" right="0.7086614173228347" top="0.7480314960629921" bottom="0.7480314960629921" header="0.3149606299212598" footer="0.3149606299212598"/>
  <pageSetup orientation="landscape" paperSize="9"/>
</worksheet>
</file>

<file path=xl/worksheets/sheet4.xml><?xml version="1.0" encoding="utf-8"?>
<worksheet xmlns="http://schemas.openxmlformats.org/spreadsheetml/2006/main">
  <sheetPr>
    <outlinePr summaryBelow="1" summaryRight="1"/>
    <pageSetUpPr/>
  </sheetPr>
  <dimension ref="A1:M34"/>
  <sheetViews>
    <sheetView topLeftCell="A2" zoomScale="70" zoomScaleNormal="70" zoomScaleSheetLayoutView="110" workbookViewId="0">
      <selection activeCell="I38" sqref="I38"/>
    </sheetView>
  </sheetViews>
  <sheetFormatPr baseColWidth="8" defaultColWidth="0" defaultRowHeight="14.4" zeroHeight="1"/>
  <cols>
    <col width="10.33203125" customWidth="1" style="1" min="1" max="17"/>
    <col hidden="1" width="10.33203125" customWidth="1" style="1" min="18" max="16384"/>
  </cols>
  <sheetData>
    <row r="1">
      <c r="A1" s="2" t="n"/>
      <c r="B1" s="3" t="n"/>
      <c r="C1" s="3" t="n"/>
      <c r="D1" s="3" t="n"/>
      <c r="E1" s="3" t="n"/>
      <c r="F1" s="3" t="n"/>
      <c r="G1" s="3" t="n"/>
      <c r="H1" s="3" t="n"/>
      <c r="I1" s="3" t="n"/>
      <c r="J1" s="3" t="n"/>
      <c r="K1" s="3" t="n"/>
      <c r="L1" s="3" t="n"/>
      <c r="M1" s="4" t="n"/>
    </row>
    <row r="2">
      <c r="A2" s="5" t="n"/>
      <c r="M2" s="6" t="n"/>
    </row>
    <row r="3">
      <c r="A3" s="5" t="n"/>
      <c r="M3" s="6" t="n"/>
    </row>
    <row r="4">
      <c r="A4" s="5" t="n"/>
      <c r="M4" s="6" t="n"/>
    </row>
    <row r="5">
      <c r="A5" s="5" t="n"/>
      <c r="M5" s="6" t="n"/>
    </row>
    <row r="6">
      <c r="A6" s="5" t="n"/>
      <c r="M6" s="6" t="n"/>
    </row>
    <row r="7">
      <c r="A7" s="5" t="n"/>
      <c r="M7" s="6" t="n"/>
    </row>
    <row r="8">
      <c r="A8" s="5" t="n"/>
      <c r="M8" s="6" t="n"/>
    </row>
    <row r="9">
      <c r="A9" s="5" t="n"/>
      <c r="M9" s="6" t="n"/>
    </row>
    <row r="10">
      <c r="A10" s="5" t="n"/>
      <c r="M10" s="6" t="n"/>
    </row>
    <row r="11">
      <c r="A11" s="5" t="n"/>
      <c r="M11" s="6" t="n"/>
    </row>
    <row r="12">
      <c r="A12" s="5" t="n"/>
      <c r="M12" s="6" t="n"/>
    </row>
    <row r="13">
      <c r="A13" s="5" t="n"/>
      <c r="M13" s="6" t="n"/>
    </row>
    <row r="14">
      <c r="A14" s="5" t="n"/>
      <c r="M14" s="6" t="n"/>
    </row>
    <row r="15">
      <c r="A15" s="5" t="n"/>
      <c r="M15" s="6" t="n"/>
    </row>
    <row r="16">
      <c r="A16" s="5" t="n"/>
      <c r="M16" s="6" t="n"/>
    </row>
    <row r="17">
      <c r="A17" s="5" t="n"/>
      <c r="M17" s="6" t="n"/>
    </row>
    <row r="18">
      <c r="A18" s="5" t="n"/>
      <c r="M18" s="6" t="n"/>
    </row>
    <row r="19">
      <c r="A19" s="5" t="n"/>
      <c r="M19" s="6" t="n"/>
    </row>
    <row r="20">
      <c r="A20" s="5" t="n"/>
      <c r="M20" s="6" t="n"/>
    </row>
    <row r="21">
      <c r="A21" s="5" t="n"/>
      <c r="M21" s="6" t="n"/>
    </row>
    <row r="22">
      <c r="A22" s="5" t="n"/>
      <c r="M22" s="6" t="n"/>
    </row>
    <row r="23">
      <c r="A23" s="5" t="n"/>
      <c r="M23" s="6" t="n"/>
    </row>
    <row r="24">
      <c r="A24" s="5" t="n"/>
      <c r="M24" s="6" t="n"/>
    </row>
    <row r="25">
      <c r="A25" s="5" t="n"/>
      <c r="M25" s="6" t="n"/>
    </row>
    <row r="26">
      <c r="A26" s="5" t="n"/>
      <c r="M26" s="6" t="n"/>
    </row>
    <row r="27">
      <c r="A27" s="5" t="n"/>
      <c r="M27" s="6" t="n"/>
    </row>
    <row r="28">
      <c r="A28" s="5" t="n"/>
      <c r="M28" s="6" t="n"/>
    </row>
    <row r="29">
      <c r="A29" s="5" t="n"/>
      <c r="M29" s="6" t="n"/>
    </row>
    <row r="30">
      <c r="A30" s="5" t="n"/>
      <c r="M30" s="6" t="n"/>
    </row>
    <row r="31">
      <c r="A31" s="5" t="n"/>
      <c r="M31" s="6" t="n"/>
    </row>
    <row r="32">
      <c r="A32" s="5" t="n"/>
      <c r="M32" s="6" t="n"/>
    </row>
    <row r="33">
      <c r="A33" s="5" t="n"/>
      <c r="M33" s="6" t="n"/>
    </row>
    <row r="34">
      <c r="A34" s="7" t="n"/>
      <c r="B34" s="8" t="n"/>
      <c r="C34" s="8" t="n"/>
      <c r="D34" s="8" t="n"/>
      <c r="E34" s="8" t="n"/>
      <c r="F34" s="8" t="n"/>
      <c r="G34" s="8" t="n"/>
      <c r="H34" s="8" t="n"/>
      <c r="I34" s="8" t="n"/>
      <c r="J34" s="8" t="n"/>
      <c r="K34" s="8" t="n"/>
      <c r="L34" s="8" t="n"/>
      <c r="M34" s="9" t="n"/>
    </row>
  </sheetData>
  <printOptions horizontalCentered="1"/>
  <pageMargins left="0.7086614173228347" right="0.7086614173228347" top="0.7480314960629921" bottom="0.7480314960629921" header="0.3149606299212598" footer="0.3149606299212598"/>
  <pageSetup orientation="landscape"/>
</worksheet>
</file>

<file path=xl/worksheets/sheet5.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6" customWidth="1" min="5" max="5"/>
    <col width="16" customWidth="1" min="6" max="6"/>
    <col width="14" customWidth="1" min="7" max="7"/>
    <col width="16" customWidth="1" min="8" max="8"/>
    <col width="16" customWidth="1" min="9" max="9"/>
    <col width="16" customWidth="1" min="10" max="10"/>
    <col width="18" customWidth="1" min="11" max="11"/>
    <col width="18" customWidth="1" min="12" max="12"/>
    <col width="20" customWidth="1" min="13" max="13"/>
  </cols>
  <sheetData>
    <row r="1">
      <c r="A1" s="47" t="inlineStr">
        <is>
          <t>Case Study I – Transition Cost Model (3-year)</t>
        </is>
      </c>
    </row>
    <row r="3">
      <c r="A3" s="48" t="inlineStr">
        <is>
          <t>Transition percent of Location A moved to Location B</t>
        </is>
      </c>
      <c r="B3" t="n">
        <v>1</v>
      </c>
    </row>
    <row r="4">
      <c r="A4" s="48" t="inlineStr">
        <is>
          <t>Include 2 new Analyst I - Night Shift hires?</t>
        </is>
      </c>
      <c r="B4" t="inlineStr">
        <is>
          <t>Yes</t>
        </is>
      </c>
    </row>
    <row r="5">
      <c r="A5" s="48" t="inlineStr">
        <is>
          <t>Analysis horizon (months)</t>
        </is>
      </c>
      <c r="B5" t="n">
        <v>36</v>
      </c>
    </row>
    <row r="6">
      <c r="A6" s="48" t="inlineStr">
        <is>
          <t>Project mgmt overhead per added FTE (monthly)</t>
        </is>
      </c>
      <c r="B6" t="n">
        <v>105</v>
      </c>
    </row>
    <row r="7">
      <c r="A7" s="48" t="inlineStr">
        <is>
          <t>Retention bonus per moved FTE – Manager/Sr TL</t>
        </is>
      </c>
      <c r="B7" t="n">
        <v>3000</v>
      </c>
    </row>
    <row r="8">
      <c r="A8" s="48" t="inlineStr">
        <is>
          <t>Retention bonus per moved FTE – Others</t>
        </is>
      </c>
      <c r="B8" t="n">
        <v>2000</v>
      </c>
    </row>
    <row r="9">
      <c r="A9" s="48" t="inlineStr">
        <is>
          <t>Infrastructure cost per moved FTE (one-time)</t>
        </is>
      </c>
      <c r="B9" t="n">
        <v>3500</v>
      </c>
    </row>
    <row r="10">
      <c r="A10" s="48" t="inlineStr">
        <is>
          <t>Transportation per new night-shift FTE (monthly)</t>
        </is>
      </c>
      <c r="B10" t="n">
        <v>250</v>
      </c>
    </row>
    <row r="11">
      <c r="A11" s="48" t="inlineStr">
        <is>
          <t>Location B rate hike</t>
        </is>
      </c>
      <c r="B11" t="n">
        <v>0.05</v>
      </c>
    </row>
    <row r="14">
      <c r="A14" s="49" t="inlineStr">
        <is>
          <t>Level</t>
        </is>
      </c>
      <c r="B14" s="50" t="inlineStr">
        <is>
          <t>A Headcount</t>
        </is>
      </c>
      <c r="C14" s="50" t="inlineStr">
        <is>
          <t>B Headcount</t>
        </is>
      </c>
      <c r="D14" s="51" t="inlineStr">
        <is>
          <t>A Rate</t>
        </is>
      </c>
      <c r="E14" s="51" t="inlineStr">
        <is>
          <t>B Rate (base)</t>
        </is>
      </c>
      <c r="F14" s="51" t="inlineStr">
        <is>
          <t>B Rate (5% hike)</t>
        </is>
      </c>
      <c r="G14" s="50" t="inlineStr">
        <is>
          <t>Moved to B (FTE)</t>
        </is>
      </c>
      <c r="H14" s="50" t="inlineStr">
        <is>
          <t>New A Headcount</t>
        </is>
      </c>
      <c r="I14" s="50" t="inlineStr">
        <is>
          <t>New B Headcount</t>
        </is>
      </c>
      <c r="J14" s="50" t="inlineStr">
        <is>
          <t>Added to B (FTE)</t>
        </is>
      </c>
      <c r="K14" s="51" t="inlineStr">
        <is>
          <t>One-time Retention</t>
        </is>
      </c>
      <c r="L14" s="51" t="inlineStr">
        <is>
          <t>One-time Infrastructure</t>
        </is>
      </c>
      <c r="M14" s="51" t="inlineStr">
        <is>
          <t>Monthly Transportation</t>
        </is>
      </c>
    </row>
    <row r="15">
      <c r="A15" s="52" t="inlineStr">
        <is>
          <t>Manager</t>
        </is>
      </c>
      <c r="B15" s="53">
        <f>'Case Study I'!C9</f>
        <v/>
      </c>
      <c r="C15" s="53">
        <f>'Case Study I'!D9</f>
        <v/>
      </c>
      <c r="D15" s="54">
        <f>'Case Study I'!C9</f>
        <v/>
      </c>
      <c r="E15" s="54">
        <f>'Case Study I'!D9</f>
        <v/>
      </c>
      <c r="F15" s="54">
        <f>E15*(1+$B$11)</f>
        <v/>
      </c>
      <c r="G15" s="53">
        <f>B15*$B$3</f>
        <v/>
      </c>
      <c r="H15" s="53">
        <f>B15-G15</f>
        <v/>
      </c>
      <c r="I15" s="53">
        <f>C15+G15+IF(AND($A15='Analyst I - Night Shift',$B$4='Yes'),2,0)</f>
        <v/>
      </c>
      <c r="J15" s="53">
        <f>G15+IF(AND($A15='Analyst I - Night Shift',$B$4='Yes'),2,0)</f>
        <v/>
      </c>
      <c r="K15" s="54">
        <f>IF(OR($A15='Manager',$A15='Sr. Team Lead'),$B$7,$B$8)*G15</f>
        <v/>
      </c>
      <c r="L15" s="54">
        <f>$B$9*G15</f>
        <v/>
      </c>
      <c r="M15" s="54">
        <f>IF($A15='Analyst I - Night Shift',IF($B$4='Yes',2,0)*$B$10,0)</f>
        <v/>
      </c>
    </row>
    <row r="16">
      <c r="A16" s="52" t="inlineStr">
        <is>
          <t>Sr. Team Lead</t>
        </is>
      </c>
      <c r="B16" s="53">
        <f>'Case Study I'!C10</f>
        <v/>
      </c>
      <c r="C16" s="53">
        <f>'Case Study I'!D10</f>
        <v/>
      </c>
      <c r="D16" s="54">
        <f>'Case Study I'!C10</f>
        <v/>
      </c>
      <c r="E16" s="54">
        <f>'Case Study I'!D10</f>
        <v/>
      </c>
      <c r="F16" s="54">
        <f>E16*(1+$B$11)</f>
        <v/>
      </c>
      <c r="G16" s="53">
        <f>B16*$B$3</f>
        <v/>
      </c>
      <c r="H16" s="53">
        <f>B16-G16</f>
        <v/>
      </c>
      <c r="I16" s="53">
        <f>C16+G16+IF(AND($A16='Analyst I - Night Shift',$B$4='Yes'),2,0)</f>
        <v/>
      </c>
      <c r="J16" s="53">
        <f>G16+IF(AND($A16='Analyst I - Night Shift',$B$4='Yes'),2,0)</f>
        <v/>
      </c>
      <c r="K16" s="54">
        <f>IF(OR($A16='Manager',$A16='Sr. Team Lead'),$B$7,$B$8)*G16</f>
        <v/>
      </c>
      <c r="L16" s="54">
        <f>$B$9*G16</f>
        <v/>
      </c>
      <c r="M16" s="54">
        <f>IF($A16='Analyst I - Night Shift',IF($B$4='Yes',2,0)*$B$10,0)</f>
        <v/>
      </c>
    </row>
    <row r="17">
      <c r="A17" s="52" t="inlineStr">
        <is>
          <t>Team Lead</t>
        </is>
      </c>
      <c r="B17" s="53">
        <f>'Case Study I'!C11</f>
        <v/>
      </c>
      <c r="C17" s="53">
        <f>'Case Study I'!D11</f>
        <v/>
      </c>
      <c r="D17" s="54">
        <f>'Case Study I'!C11</f>
        <v/>
      </c>
      <c r="E17" s="54">
        <f>'Case Study I'!D11</f>
        <v/>
      </c>
      <c r="F17" s="54">
        <f>E17*(1+$B$11)</f>
        <v/>
      </c>
      <c r="G17" s="53">
        <f>B17*$B$3</f>
        <v/>
      </c>
      <c r="H17" s="53">
        <f>B17-G17</f>
        <v/>
      </c>
      <c r="I17" s="53">
        <f>C17+G17+IF(AND($A17='Analyst I - Night Shift',$B$4='Yes'),2,0)</f>
        <v/>
      </c>
      <c r="J17" s="53">
        <f>G17+IF(AND($A17='Analyst I - Night Shift',$B$4='Yes'),2,0)</f>
        <v/>
      </c>
      <c r="K17" s="54">
        <f>IF(OR($A17='Manager',$A17='Sr. Team Lead'),$B$7,$B$8)*G17</f>
        <v/>
      </c>
      <c r="L17" s="54">
        <f>$B$9*G17</f>
        <v/>
      </c>
      <c r="M17" s="54">
        <f>IF($A17='Analyst I - Night Shift',IF($B$4='Yes',2,0)*$B$10,0)</f>
        <v/>
      </c>
    </row>
    <row r="18">
      <c r="A18" s="52" t="inlineStr">
        <is>
          <t>Sr. Analyst II</t>
        </is>
      </c>
      <c r="B18" s="53">
        <f>'Case Study I'!C12</f>
        <v/>
      </c>
      <c r="C18" s="53">
        <f>'Case Study I'!D12</f>
        <v/>
      </c>
      <c r="D18" s="54">
        <f>'Case Study I'!C12</f>
        <v/>
      </c>
      <c r="E18" s="54">
        <f>'Case Study I'!D12</f>
        <v/>
      </c>
      <c r="F18" s="54">
        <f>E18*(1+$B$11)</f>
        <v/>
      </c>
      <c r="G18" s="53">
        <f>B18*$B$3</f>
        <v/>
      </c>
      <c r="H18" s="53">
        <f>B18-G18</f>
        <v/>
      </c>
      <c r="I18" s="53">
        <f>C18+G18+IF(AND($A18='Analyst I - Night Shift',$B$4='Yes'),2,0)</f>
        <v/>
      </c>
      <c r="J18" s="53">
        <f>G18+IF(AND($A18='Analyst I - Night Shift',$B$4='Yes'),2,0)</f>
        <v/>
      </c>
      <c r="K18" s="54">
        <f>IF(OR($A18='Manager',$A18='Sr. Team Lead'),$B$7,$B$8)*G18</f>
        <v/>
      </c>
      <c r="L18" s="54">
        <f>$B$9*G18</f>
        <v/>
      </c>
      <c r="M18" s="54">
        <f>IF($A18='Analyst I - Night Shift',IF($B$4='Yes',2,0)*$B$10,0)</f>
        <v/>
      </c>
    </row>
    <row r="19">
      <c r="A19" s="52" t="inlineStr">
        <is>
          <t>Sr. Analyst I</t>
        </is>
      </c>
      <c r="B19" s="53">
        <f>'Case Study I'!C13</f>
        <v/>
      </c>
      <c r="C19" s="53">
        <f>'Case Study I'!D13</f>
        <v/>
      </c>
      <c r="D19" s="54">
        <f>'Case Study I'!C13</f>
        <v/>
      </c>
      <c r="E19" s="54">
        <f>'Case Study I'!D13</f>
        <v/>
      </c>
      <c r="F19" s="54">
        <f>E19*(1+$B$11)</f>
        <v/>
      </c>
      <c r="G19" s="53">
        <f>B19*$B$3</f>
        <v/>
      </c>
      <c r="H19" s="53">
        <f>B19-G19</f>
        <v/>
      </c>
      <c r="I19" s="53">
        <f>C19+G19+IF(AND($A19='Analyst I - Night Shift',$B$4='Yes'),2,0)</f>
        <v/>
      </c>
      <c r="J19" s="53">
        <f>G19+IF(AND($A19='Analyst I - Night Shift',$B$4='Yes'),2,0)</f>
        <v/>
      </c>
      <c r="K19" s="54">
        <f>IF(OR($A19='Manager',$A19='Sr. Team Lead'),$B$7,$B$8)*G19</f>
        <v/>
      </c>
      <c r="L19" s="54">
        <f>$B$9*G19</f>
        <v/>
      </c>
      <c r="M19" s="54">
        <f>IF($A19='Analyst I - Night Shift',IF($B$4='Yes',2,0)*$B$10,0)</f>
        <v/>
      </c>
    </row>
    <row r="20">
      <c r="A20" s="52" t="inlineStr">
        <is>
          <t>Analyst II</t>
        </is>
      </c>
      <c r="B20" s="53">
        <f>'Case Study I'!C14</f>
        <v/>
      </c>
      <c r="C20" s="53">
        <f>'Case Study I'!D14</f>
        <v/>
      </c>
      <c r="D20" s="54">
        <f>'Case Study I'!C14</f>
        <v/>
      </c>
      <c r="E20" s="54">
        <f>'Case Study I'!D14</f>
        <v/>
      </c>
      <c r="F20" s="54">
        <f>E20*(1+$B$11)</f>
        <v/>
      </c>
      <c r="G20" s="53">
        <f>B20*$B$3</f>
        <v/>
      </c>
      <c r="H20" s="53">
        <f>B20-G20</f>
        <v/>
      </c>
      <c r="I20" s="53">
        <f>C20+G20+IF(AND($A20='Analyst I - Night Shift',$B$4='Yes'),2,0)</f>
        <v/>
      </c>
      <c r="J20" s="53">
        <f>G20+IF(AND($A20='Analyst I - Night Shift',$B$4='Yes'),2,0)</f>
        <v/>
      </c>
      <c r="K20" s="54">
        <f>IF(OR($A20='Manager',$A20='Sr. Team Lead'),$B$7,$B$8)*G20</f>
        <v/>
      </c>
      <c r="L20" s="54">
        <f>$B$9*G20</f>
        <v/>
      </c>
      <c r="M20" s="54">
        <f>IF($A20='Analyst I - Night Shift',IF($B$4='Yes',2,0)*$B$10,0)</f>
        <v/>
      </c>
    </row>
    <row r="21">
      <c r="A21" s="52" t="inlineStr">
        <is>
          <t>Analyst I</t>
        </is>
      </c>
      <c r="B21" s="53">
        <f>'Case Study I'!C15</f>
        <v/>
      </c>
      <c r="C21" s="53">
        <f>'Case Study I'!D15</f>
        <v/>
      </c>
      <c r="D21" s="54">
        <f>'Case Study I'!C15</f>
        <v/>
      </c>
      <c r="E21" s="54">
        <f>'Case Study I'!D15</f>
        <v/>
      </c>
      <c r="F21" s="54">
        <f>E21*(1+$B$11)</f>
        <v/>
      </c>
      <c r="G21" s="53">
        <f>B21*$B$3</f>
        <v/>
      </c>
      <c r="H21" s="53">
        <f>B21-G21</f>
        <v/>
      </c>
      <c r="I21" s="53">
        <f>C21+G21+IF(AND($A21='Analyst I - Night Shift',$B$4='Yes'),2,0)</f>
        <v/>
      </c>
      <c r="J21" s="53">
        <f>G21+IF(AND($A21='Analyst I - Night Shift',$B$4='Yes'),2,0)</f>
        <v/>
      </c>
      <c r="K21" s="54">
        <f>IF(OR($A21='Manager',$A21='Sr. Team Lead'),$B$7,$B$8)*G21</f>
        <v/>
      </c>
      <c r="L21" s="54">
        <f>$B$9*G21</f>
        <v/>
      </c>
      <c r="M21" s="54">
        <f>IF($A21='Analyst I - Night Shift',IF($B$4='Yes',2,0)*$B$10,0)</f>
        <v/>
      </c>
    </row>
    <row r="22">
      <c r="A22" s="52" t="inlineStr">
        <is>
          <t>Analyst I - Night Shift</t>
        </is>
      </c>
      <c r="B22" s="53">
        <f>'Case Study I'!C16</f>
        <v/>
      </c>
      <c r="C22" s="53">
        <f>'Case Study I'!D16</f>
        <v/>
      </c>
      <c r="D22" s="54">
        <f>'Case Study I'!C16</f>
        <v/>
      </c>
      <c r="E22" s="54">
        <f>'Case Study I'!D16</f>
        <v/>
      </c>
      <c r="F22" s="54">
        <f>E22*(1+$B$11)</f>
        <v/>
      </c>
      <c r="G22" s="53">
        <f>B22*$B$3</f>
        <v/>
      </c>
      <c r="H22" s="53">
        <f>B22-G22</f>
        <v/>
      </c>
      <c r="I22" s="53">
        <f>C22+G22+IF(AND($A22='Analyst I - Night Shift',$B$4='Yes'),2,0)</f>
        <v/>
      </c>
      <c r="J22" s="53">
        <f>G22+IF(AND($A22='Analyst I - Night Shift',$B$4='Yes'),2,0)</f>
        <v/>
      </c>
      <c r="K22" s="54">
        <f>IF(OR($A22='Manager',$A22='Sr. Team Lead'),$B$7,$B$8)*G22</f>
        <v/>
      </c>
      <c r="L22" s="54">
        <f>$B$9*G22</f>
        <v/>
      </c>
      <c r="M22" s="54">
        <f>IF($A22='Analyst I - Night Shift',IF($B$4='Yes',2,0)*$B$10,0)</f>
        <v/>
      </c>
    </row>
    <row r="23">
      <c r="A23" s="55" t="inlineStr">
        <is>
          <t>TOTALS</t>
        </is>
      </c>
      <c r="B23" s="53">
        <f>SUM(B15:B22)</f>
        <v/>
      </c>
      <c r="C23" s="53">
        <f>SUM(C15:C22)</f>
        <v/>
      </c>
      <c r="D23" s="54">
        <f>SUM(D15:D22)</f>
        <v/>
      </c>
      <c r="E23" s="54">
        <f>SUM(E15:E22)</f>
        <v/>
      </c>
      <c r="F23" s="54">
        <f>SUM(F15:F22)</f>
        <v/>
      </c>
      <c r="G23" s="53">
        <f>SUM(G15:G22)</f>
        <v/>
      </c>
      <c r="H23" s="53">
        <f>SUM(H15:H22)</f>
        <v/>
      </c>
      <c r="I23" s="53">
        <f>SUM(I15:I22)</f>
        <v/>
      </c>
      <c r="J23" s="53">
        <f>SUM(J15:J22)</f>
        <v/>
      </c>
      <c r="K23" s="54">
        <f>SUM(K15:K22)</f>
        <v/>
      </c>
      <c r="L23" s="54">
        <f>SUM(L15:L22)</f>
        <v/>
      </c>
      <c r="M23" s="54">
        <f>SUM(M15:M22)</f>
        <v/>
      </c>
    </row>
    <row r="26">
      <c r="A26" s="48" t="inlineStr">
        <is>
          <t>Baseline monthly wage cost</t>
        </is>
      </c>
      <c r="B26" s="56">
        <f>SUMPRODUCT(B15:B22,D15:D22)+SUMPRODUCT(C15:C22,F15:F22)</f>
        <v/>
      </c>
    </row>
    <row r="27">
      <c r="A27" s="48" t="inlineStr">
        <is>
          <t>Post-move monthly wage cost</t>
        </is>
      </c>
      <c r="B27" s="56">
        <f>SUMPRODUCT(H15:H22,D15:D22)+SUMPRODUCT(I15:I22,F15:F22)</f>
        <v/>
      </c>
    </row>
    <row r="28">
      <c r="A28" s="48" t="inlineStr">
        <is>
          <t>Monthly overhead (added FTEs * $105)</t>
        </is>
      </c>
      <c r="B28" s="56">
        <f>$B$6*J23</f>
        <v/>
      </c>
    </row>
    <row r="29">
      <c r="A29" s="48" t="inlineStr">
        <is>
          <t>Monthly transportation (new hires only)</t>
        </is>
      </c>
      <c r="B29" s="56">
        <f>M23</f>
        <v/>
      </c>
    </row>
    <row r="30">
      <c r="A30" s="48" t="inlineStr">
        <is>
          <t>Post-move monthly total</t>
        </is>
      </c>
      <c r="B30" s="56">
        <f>B27+B28+B29</f>
        <v/>
      </c>
    </row>
    <row r="31">
      <c r="A31" s="48" t="inlineStr">
        <is>
          <t>Monthly savings vs baseline</t>
        </is>
      </c>
      <c r="B31" s="56">
        <f>B26-B30</f>
        <v/>
      </c>
    </row>
    <row r="32">
      <c r="A32" s="48" t="inlineStr">
        <is>
          <t>One-time retention + infrastructure</t>
        </is>
      </c>
      <c r="B32" s="56">
        <f>K23+L23</f>
        <v/>
      </c>
    </row>
    <row r="33">
      <c r="A33" s="48" t="inlineStr">
        <is>
          <t>3-year baseline cost</t>
        </is>
      </c>
      <c r="B33" s="56">
        <f>B26*$B$5</f>
        <v/>
      </c>
    </row>
    <row r="34">
      <c r="A34" s="48" t="inlineStr">
        <is>
          <t>3-year post-move cost</t>
        </is>
      </c>
      <c r="B34" s="56">
        <f>B30*$B$5+B32</f>
        <v/>
      </c>
    </row>
    <row r="35">
      <c r="A35" s="48" t="inlineStr">
        <is>
          <t>3-year net savings (positive = good)</t>
        </is>
      </c>
      <c r="B35" s="56">
        <f>B33-B34</f>
        <v/>
      </c>
    </row>
    <row r="36">
      <c r="A36" s="48" t="inlineStr">
        <is>
          <t>Breakeven months (one-time / monthly savings)</t>
        </is>
      </c>
      <c r="B36" s="57">
        <f>IF(B31&gt;0,B32/B31,NA())</f>
        <v/>
      </c>
    </row>
    <row r="39">
      <c r="A39" s="48" t="inlineStr">
        <is>
          <t>Recommendation</t>
        </is>
      </c>
      <c r="B39">
        <f>IF(B35&gt;0, 'Move FTEs from A to B', 'Do NOT move')</f>
        <v/>
      </c>
    </row>
  </sheetData>
  <dataValidations count="2">
    <dataValidation sqref="B3" showDropDown="0" showInputMessage="0" showErrorMessage="0" allowBlank="0" promptTitle="Transition %" prompt="Enter a value between 0 and 1 (e.g., 1 for 100%)." type="decimal" operator="between">
      <formula1>0</formula1>
      <formula2>1</formula2>
    </dataValidation>
    <dataValidation sqref="B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0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58" t="inlineStr">
        <is>
          <t>Employee ID</t>
        </is>
      </c>
      <c r="B1" s="58" t="inlineStr">
        <is>
          <t>Country</t>
        </is>
      </c>
      <c r="C1" s="58" t="inlineStr">
        <is>
          <t>Activity Score Points</t>
        </is>
      </c>
      <c r="D1" s="58" t="inlineStr">
        <is>
          <t>Gift Type</t>
        </is>
      </c>
      <c r="E1" s="58" t="inlineStr">
        <is>
          <t>Eligibility %</t>
        </is>
      </c>
      <c r="F1" s="58" t="inlineStr">
        <is>
          <t>Due Date</t>
        </is>
      </c>
      <c r="G1" s="58" t="inlineStr">
        <is>
          <t>Local currency</t>
        </is>
      </c>
      <c r="H1" s="58" t="inlineStr">
        <is>
          <t>Exch to USD</t>
        </is>
      </c>
      <c r="I1" s="58" t="inlineStr">
        <is>
          <t>Reward/pt (Local)</t>
        </is>
      </c>
      <c r="J1" s="58" t="inlineStr">
        <is>
          <t>Reward Local</t>
        </is>
      </c>
      <c r="K1" s="58" t="inlineStr">
        <is>
          <t>Reward USD</t>
        </is>
      </c>
      <c r="L1" s="58" t="inlineStr">
        <is>
          <t>Is Interview</t>
        </is>
      </c>
      <c r="M1" s="58" t="inlineStr">
        <is>
          <t>Status</t>
        </is>
      </c>
      <c r="N1" s="58" t="inlineStr">
        <is>
          <t>Days Delay</t>
        </is>
      </c>
      <c r="O1" s="58" t="inlineStr">
        <is>
          <t>Send Date</t>
        </is>
      </c>
    </row>
    <row r="2">
      <c r="A2">
        <f>'Case Study II'!B11</f>
        <v/>
      </c>
      <c r="B2">
        <f>'Case Study II'!I11</f>
        <v/>
      </c>
      <c r="C2">
        <f>'Case Study II'!D11</f>
        <v/>
      </c>
      <c r="D2">
        <f>'Case Study II'!E11</f>
        <v/>
      </c>
      <c r="E2">
        <f>'Case Study II'!F11</f>
        <v/>
      </c>
      <c r="F2">
        <f>'Case Study II'!G11</f>
        <v/>
      </c>
      <c r="G2">
        <f>INDEX('Case Study II'!I11:L18, MATCH(B2, INDEX('Case Study II'!I11:L18,,1), 0), 2)</f>
        <v/>
      </c>
      <c r="H2">
        <f>INDEX('Case Study II'!I11:L18, MATCH(B2, INDEX('Case Study II'!I11:L18,,1), 0), 3)</f>
        <v/>
      </c>
      <c r="I2">
        <f>INDEX('Case Study II'!I11:L18, MATCH(B2, INDEX('Case Study II'!I11:L18,,1), 0), 4)</f>
        <v/>
      </c>
      <c r="J2" s="59">
        <f>C2*E2*I2</f>
        <v/>
      </c>
      <c r="K2" s="60">
        <f>J2*H2</f>
        <v/>
      </c>
      <c r="L2">
        <f>IF(D2='Interview',1,0)</f>
        <v/>
      </c>
      <c r="M2">
        <f>IF(O2&gt;F2,'Delayed','On time')</f>
        <v/>
      </c>
      <c r="N2" s="61">
        <f>IF(O2&gt;F2,O2-F2,0)</f>
        <v/>
      </c>
      <c r="O2">
        <f>DATE(2025,3,25)</f>
        <v/>
      </c>
    </row>
    <row r="3">
      <c r="A3">
        <f>'Case Study II'!B12</f>
        <v/>
      </c>
      <c r="B3">
        <f>'Case Study II'!I12</f>
        <v/>
      </c>
      <c r="C3">
        <f>'Case Study II'!D12</f>
        <v/>
      </c>
      <c r="D3">
        <f>'Case Study II'!E12</f>
        <v/>
      </c>
      <c r="E3">
        <f>'Case Study II'!F12</f>
        <v/>
      </c>
      <c r="F3">
        <f>'Case Study II'!G12</f>
        <v/>
      </c>
      <c r="G3">
        <f>INDEX('Case Study II'!I11:L18, MATCH(B3, INDEX('Case Study II'!I11:L18,,1), 0), 2)</f>
        <v/>
      </c>
      <c r="H3">
        <f>INDEX('Case Study II'!I11:L18, MATCH(B3, INDEX('Case Study II'!I11:L18,,1), 0), 3)</f>
        <v/>
      </c>
      <c r="I3">
        <f>INDEX('Case Study II'!I11:L18, MATCH(B3, INDEX('Case Study II'!I11:L18,,1), 0), 4)</f>
        <v/>
      </c>
      <c r="J3" s="59">
        <f>C3*E3*I3</f>
        <v/>
      </c>
      <c r="K3" s="60">
        <f>J3*H3</f>
        <v/>
      </c>
      <c r="L3">
        <f>IF(D3='Interview',1,0)</f>
        <v/>
      </c>
      <c r="M3">
        <f>IF(O3&gt;F3,'Delayed','On time')</f>
        <v/>
      </c>
      <c r="N3" s="61">
        <f>IF(O3&gt;F3,O3-F3,0)</f>
        <v/>
      </c>
      <c r="O3">
        <f>DATE(2025,3,25)</f>
        <v/>
      </c>
    </row>
    <row r="4">
      <c r="A4">
        <f>'Case Study II'!B13</f>
        <v/>
      </c>
      <c r="B4">
        <f>'Case Study II'!I13</f>
        <v/>
      </c>
      <c r="C4">
        <f>'Case Study II'!D13</f>
        <v/>
      </c>
      <c r="D4">
        <f>'Case Study II'!E13</f>
        <v/>
      </c>
      <c r="E4">
        <f>'Case Study II'!F13</f>
        <v/>
      </c>
      <c r="F4">
        <f>'Case Study II'!G13</f>
        <v/>
      </c>
      <c r="G4">
        <f>INDEX('Case Study II'!I11:L18, MATCH(B4, INDEX('Case Study II'!I11:L18,,1), 0), 2)</f>
        <v/>
      </c>
      <c r="H4">
        <f>INDEX('Case Study II'!I11:L18, MATCH(B4, INDEX('Case Study II'!I11:L18,,1), 0), 3)</f>
        <v/>
      </c>
      <c r="I4">
        <f>INDEX('Case Study II'!I11:L18, MATCH(B4, INDEX('Case Study II'!I11:L18,,1), 0), 4)</f>
        <v/>
      </c>
      <c r="J4" s="59">
        <f>C4*E4*I4</f>
        <v/>
      </c>
      <c r="K4" s="60">
        <f>J4*H4</f>
        <v/>
      </c>
      <c r="L4">
        <f>IF(D4='Interview',1,0)</f>
        <v/>
      </c>
      <c r="M4">
        <f>IF(O4&gt;F4,'Delayed','On time')</f>
        <v/>
      </c>
      <c r="N4" s="61">
        <f>IF(O4&gt;F4,O4-F4,0)</f>
        <v/>
      </c>
      <c r="O4">
        <f>DATE(2025,3,25)</f>
        <v/>
      </c>
    </row>
    <row r="5">
      <c r="A5">
        <f>'Case Study II'!B14</f>
        <v/>
      </c>
      <c r="B5">
        <f>'Case Study II'!I14</f>
        <v/>
      </c>
      <c r="C5">
        <f>'Case Study II'!D14</f>
        <v/>
      </c>
      <c r="D5">
        <f>'Case Study II'!E14</f>
        <v/>
      </c>
      <c r="E5">
        <f>'Case Study II'!F14</f>
        <v/>
      </c>
      <c r="F5">
        <f>'Case Study II'!G14</f>
        <v/>
      </c>
      <c r="G5">
        <f>INDEX('Case Study II'!I11:L18, MATCH(B5, INDEX('Case Study II'!I11:L18,,1), 0), 2)</f>
        <v/>
      </c>
      <c r="H5">
        <f>INDEX('Case Study II'!I11:L18, MATCH(B5, INDEX('Case Study II'!I11:L18,,1), 0), 3)</f>
        <v/>
      </c>
      <c r="I5">
        <f>INDEX('Case Study II'!I11:L18, MATCH(B5, INDEX('Case Study II'!I11:L18,,1), 0), 4)</f>
        <v/>
      </c>
      <c r="J5" s="59">
        <f>C5*E5*I5</f>
        <v/>
      </c>
      <c r="K5" s="60">
        <f>J5*H5</f>
        <v/>
      </c>
      <c r="L5">
        <f>IF(D5='Interview',1,0)</f>
        <v/>
      </c>
      <c r="M5">
        <f>IF(O5&gt;F5,'Delayed','On time')</f>
        <v/>
      </c>
      <c r="N5" s="61">
        <f>IF(O5&gt;F5,O5-F5,0)</f>
        <v/>
      </c>
      <c r="O5">
        <f>DATE(2025,3,25)</f>
        <v/>
      </c>
    </row>
    <row r="6">
      <c r="A6">
        <f>'Case Study II'!B15</f>
        <v/>
      </c>
      <c r="B6">
        <f>'Case Study II'!I15</f>
        <v/>
      </c>
      <c r="C6">
        <f>'Case Study II'!D15</f>
        <v/>
      </c>
      <c r="D6">
        <f>'Case Study II'!E15</f>
        <v/>
      </c>
      <c r="E6">
        <f>'Case Study II'!F15</f>
        <v/>
      </c>
      <c r="F6">
        <f>'Case Study II'!G15</f>
        <v/>
      </c>
      <c r="G6">
        <f>INDEX('Case Study II'!I11:L18, MATCH(B6, INDEX('Case Study II'!I11:L18,,1), 0), 2)</f>
        <v/>
      </c>
      <c r="H6">
        <f>INDEX('Case Study II'!I11:L18, MATCH(B6, INDEX('Case Study II'!I11:L18,,1), 0), 3)</f>
        <v/>
      </c>
      <c r="I6">
        <f>INDEX('Case Study II'!I11:L18, MATCH(B6, INDEX('Case Study II'!I11:L18,,1), 0), 4)</f>
        <v/>
      </c>
      <c r="J6" s="59">
        <f>C6*E6*I6</f>
        <v/>
      </c>
      <c r="K6" s="60">
        <f>J6*H6</f>
        <v/>
      </c>
      <c r="L6">
        <f>IF(D6='Interview',1,0)</f>
        <v/>
      </c>
      <c r="M6">
        <f>IF(O6&gt;F6,'Delayed','On time')</f>
        <v/>
      </c>
      <c r="N6" s="61">
        <f>IF(O6&gt;F6,O6-F6,0)</f>
        <v/>
      </c>
      <c r="O6">
        <f>DATE(2025,3,25)</f>
        <v/>
      </c>
    </row>
    <row r="7">
      <c r="A7">
        <f>'Case Study II'!B16</f>
        <v/>
      </c>
      <c r="B7">
        <f>'Case Study II'!I16</f>
        <v/>
      </c>
      <c r="C7">
        <f>'Case Study II'!D16</f>
        <v/>
      </c>
      <c r="D7">
        <f>'Case Study II'!E16</f>
        <v/>
      </c>
      <c r="E7">
        <f>'Case Study II'!F16</f>
        <v/>
      </c>
      <c r="F7">
        <f>'Case Study II'!G16</f>
        <v/>
      </c>
      <c r="G7">
        <f>INDEX('Case Study II'!I11:L18, MATCH(B7, INDEX('Case Study II'!I11:L18,,1), 0), 2)</f>
        <v/>
      </c>
      <c r="H7">
        <f>INDEX('Case Study II'!I11:L18, MATCH(B7, INDEX('Case Study II'!I11:L18,,1), 0), 3)</f>
        <v/>
      </c>
      <c r="I7">
        <f>INDEX('Case Study II'!I11:L18, MATCH(B7, INDEX('Case Study II'!I11:L18,,1), 0), 4)</f>
        <v/>
      </c>
      <c r="J7" s="59">
        <f>C7*E7*I7</f>
        <v/>
      </c>
      <c r="K7" s="60">
        <f>J7*H7</f>
        <v/>
      </c>
      <c r="L7">
        <f>IF(D7='Interview',1,0)</f>
        <v/>
      </c>
      <c r="M7">
        <f>IF(O7&gt;F7,'Delayed','On time')</f>
        <v/>
      </c>
      <c r="N7" s="61">
        <f>IF(O7&gt;F7,O7-F7,0)</f>
        <v/>
      </c>
      <c r="O7">
        <f>DATE(2025,3,25)</f>
        <v/>
      </c>
    </row>
    <row r="8">
      <c r="A8">
        <f>'Case Study II'!B17</f>
        <v/>
      </c>
      <c r="B8">
        <f>'Case Study II'!I17</f>
        <v/>
      </c>
      <c r="C8">
        <f>'Case Study II'!D17</f>
        <v/>
      </c>
      <c r="D8">
        <f>'Case Study II'!E17</f>
        <v/>
      </c>
      <c r="E8">
        <f>'Case Study II'!F17</f>
        <v/>
      </c>
      <c r="F8">
        <f>'Case Study II'!G17</f>
        <v/>
      </c>
      <c r="G8">
        <f>INDEX('Case Study II'!I11:L18, MATCH(B8, INDEX('Case Study II'!I11:L18,,1), 0), 2)</f>
        <v/>
      </c>
      <c r="H8">
        <f>INDEX('Case Study II'!I11:L18, MATCH(B8, INDEX('Case Study II'!I11:L18,,1), 0), 3)</f>
        <v/>
      </c>
      <c r="I8">
        <f>INDEX('Case Study II'!I11:L18, MATCH(B8, INDEX('Case Study II'!I11:L18,,1), 0), 4)</f>
        <v/>
      </c>
      <c r="J8" s="59">
        <f>C8*E8*I8</f>
        <v/>
      </c>
      <c r="K8" s="60">
        <f>J8*H8</f>
        <v/>
      </c>
      <c r="L8">
        <f>IF(D8='Interview',1,0)</f>
        <v/>
      </c>
      <c r="M8">
        <f>IF(O8&gt;F8,'Delayed','On time')</f>
        <v/>
      </c>
      <c r="N8" s="61">
        <f>IF(O8&gt;F8,O8-F8,0)</f>
        <v/>
      </c>
      <c r="O8">
        <f>DATE(2025,3,25)</f>
        <v/>
      </c>
    </row>
    <row r="9">
      <c r="A9">
        <f>'Case Study II'!B18</f>
        <v/>
      </c>
      <c r="B9">
        <f>'Case Study II'!I18</f>
        <v/>
      </c>
      <c r="C9">
        <f>'Case Study II'!D18</f>
        <v/>
      </c>
      <c r="D9">
        <f>'Case Study II'!E18</f>
        <v/>
      </c>
      <c r="E9">
        <f>'Case Study II'!F18</f>
        <v/>
      </c>
      <c r="F9">
        <f>'Case Study II'!G18</f>
        <v/>
      </c>
      <c r="G9">
        <f>INDEX('Case Study II'!I11:L18, MATCH(B9, INDEX('Case Study II'!I11:L18,,1), 0), 2)</f>
        <v/>
      </c>
      <c r="H9">
        <f>INDEX('Case Study II'!I11:L18, MATCH(B9, INDEX('Case Study II'!I11:L18,,1), 0), 3)</f>
        <v/>
      </c>
      <c r="I9">
        <f>INDEX('Case Study II'!I11:L18, MATCH(B9, INDEX('Case Study II'!I11:L18,,1), 0), 4)</f>
        <v/>
      </c>
      <c r="J9" s="59">
        <f>C9*E9*I9</f>
        <v/>
      </c>
      <c r="K9" s="60">
        <f>J9*H9</f>
        <v/>
      </c>
      <c r="L9">
        <f>IF(D9='Interview',1,0)</f>
        <v/>
      </c>
      <c r="M9">
        <f>IF(O9&gt;F9,'Delayed','On time')</f>
        <v/>
      </c>
      <c r="N9" s="61">
        <f>IF(O9&gt;F9,O9-F9,0)</f>
        <v/>
      </c>
      <c r="O9">
        <f>DATE(2025,3,25)</f>
        <v/>
      </c>
    </row>
    <row r="10">
      <c r="A10">
        <f>'Case Study II'!B19</f>
        <v/>
      </c>
      <c r="B10">
        <f>'Case Study II'!I19</f>
        <v/>
      </c>
      <c r="C10">
        <f>'Case Study II'!D19</f>
        <v/>
      </c>
      <c r="D10">
        <f>'Case Study II'!E19</f>
        <v/>
      </c>
      <c r="E10">
        <f>'Case Study II'!F19</f>
        <v/>
      </c>
      <c r="F10">
        <f>'Case Study II'!G19</f>
        <v/>
      </c>
      <c r="G10">
        <f>INDEX('Case Study II'!I11:L18, MATCH(B10, INDEX('Case Study II'!I11:L18,,1), 0), 2)</f>
        <v/>
      </c>
      <c r="H10">
        <f>INDEX('Case Study II'!I11:L18, MATCH(B10, INDEX('Case Study II'!I11:L18,,1), 0), 3)</f>
        <v/>
      </c>
      <c r="I10">
        <f>INDEX('Case Study II'!I11:L18, MATCH(B10, INDEX('Case Study II'!I11:L18,,1), 0), 4)</f>
        <v/>
      </c>
      <c r="J10" s="59">
        <f>C10*E10*I10</f>
        <v/>
      </c>
      <c r="K10" s="60">
        <f>J10*H10</f>
        <v/>
      </c>
      <c r="L10">
        <f>IF(D10='Interview',1,0)</f>
        <v/>
      </c>
      <c r="M10">
        <f>IF(O10&gt;F10,'Delayed','On time')</f>
        <v/>
      </c>
      <c r="N10" s="61">
        <f>IF(O10&gt;F10,O10-F10,0)</f>
        <v/>
      </c>
      <c r="O10">
        <f>DATE(2025,3,25)</f>
        <v/>
      </c>
    </row>
    <row r="11">
      <c r="A11">
        <f>'Case Study II'!B20</f>
        <v/>
      </c>
      <c r="B11">
        <f>'Case Study II'!I20</f>
        <v/>
      </c>
      <c r="C11">
        <f>'Case Study II'!D20</f>
        <v/>
      </c>
      <c r="D11">
        <f>'Case Study II'!E20</f>
        <v/>
      </c>
      <c r="E11">
        <f>'Case Study II'!F20</f>
        <v/>
      </c>
      <c r="F11">
        <f>'Case Study II'!G20</f>
        <v/>
      </c>
      <c r="G11">
        <f>INDEX('Case Study II'!I11:L18, MATCH(B11, INDEX('Case Study II'!I11:L18,,1), 0), 2)</f>
        <v/>
      </c>
      <c r="H11">
        <f>INDEX('Case Study II'!I11:L18, MATCH(B11, INDEX('Case Study II'!I11:L18,,1), 0), 3)</f>
        <v/>
      </c>
      <c r="I11">
        <f>INDEX('Case Study II'!I11:L18, MATCH(B11, INDEX('Case Study II'!I11:L18,,1), 0), 4)</f>
        <v/>
      </c>
      <c r="J11" s="59">
        <f>C11*E11*I11</f>
        <v/>
      </c>
      <c r="K11" s="60">
        <f>J11*H11</f>
        <v/>
      </c>
      <c r="L11">
        <f>IF(D11='Interview',1,0)</f>
        <v/>
      </c>
      <c r="M11">
        <f>IF(O11&gt;F11,'Delayed','On time')</f>
        <v/>
      </c>
      <c r="N11" s="61">
        <f>IF(O11&gt;F11,O11-F11,0)</f>
        <v/>
      </c>
      <c r="O11">
        <f>DATE(2025,3,25)</f>
        <v/>
      </c>
    </row>
    <row r="12">
      <c r="A12">
        <f>'Case Study II'!B21</f>
        <v/>
      </c>
      <c r="B12">
        <f>'Case Study II'!I21</f>
        <v/>
      </c>
      <c r="C12">
        <f>'Case Study II'!D21</f>
        <v/>
      </c>
      <c r="D12">
        <f>'Case Study II'!E21</f>
        <v/>
      </c>
      <c r="E12">
        <f>'Case Study II'!F21</f>
        <v/>
      </c>
      <c r="F12">
        <f>'Case Study II'!G21</f>
        <v/>
      </c>
      <c r="G12">
        <f>INDEX('Case Study II'!I11:L18, MATCH(B12, INDEX('Case Study II'!I11:L18,,1), 0), 2)</f>
        <v/>
      </c>
      <c r="H12">
        <f>INDEX('Case Study II'!I11:L18, MATCH(B12, INDEX('Case Study II'!I11:L18,,1), 0), 3)</f>
        <v/>
      </c>
      <c r="I12">
        <f>INDEX('Case Study II'!I11:L18, MATCH(B12, INDEX('Case Study II'!I11:L18,,1), 0), 4)</f>
        <v/>
      </c>
      <c r="J12" s="59">
        <f>C12*E12*I12</f>
        <v/>
      </c>
      <c r="K12" s="60">
        <f>J12*H12</f>
        <v/>
      </c>
      <c r="L12">
        <f>IF(D12='Interview',1,0)</f>
        <v/>
      </c>
      <c r="M12">
        <f>IF(O12&gt;F12,'Delayed','On time')</f>
        <v/>
      </c>
      <c r="N12" s="61">
        <f>IF(O12&gt;F12,O12-F12,0)</f>
        <v/>
      </c>
      <c r="O12">
        <f>DATE(2025,3,25)</f>
        <v/>
      </c>
    </row>
    <row r="13">
      <c r="A13">
        <f>'Case Study II'!B22</f>
        <v/>
      </c>
      <c r="B13">
        <f>'Case Study II'!I22</f>
        <v/>
      </c>
      <c r="C13">
        <f>'Case Study II'!D22</f>
        <v/>
      </c>
      <c r="D13">
        <f>'Case Study II'!E22</f>
        <v/>
      </c>
      <c r="E13">
        <f>'Case Study II'!F22</f>
        <v/>
      </c>
      <c r="F13">
        <f>'Case Study II'!G22</f>
        <v/>
      </c>
      <c r="G13">
        <f>INDEX('Case Study II'!I11:L18, MATCH(B13, INDEX('Case Study II'!I11:L18,,1), 0), 2)</f>
        <v/>
      </c>
      <c r="H13">
        <f>INDEX('Case Study II'!I11:L18, MATCH(B13, INDEX('Case Study II'!I11:L18,,1), 0), 3)</f>
        <v/>
      </c>
      <c r="I13">
        <f>INDEX('Case Study II'!I11:L18, MATCH(B13, INDEX('Case Study II'!I11:L18,,1), 0), 4)</f>
        <v/>
      </c>
      <c r="J13" s="59">
        <f>C13*E13*I13</f>
        <v/>
      </c>
      <c r="K13" s="60">
        <f>J13*H13</f>
        <v/>
      </c>
      <c r="L13">
        <f>IF(D13='Interview',1,0)</f>
        <v/>
      </c>
      <c r="M13">
        <f>IF(O13&gt;F13,'Delayed','On time')</f>
        <v/>
      </c>
      <c r="N13" s="61">
        <f>IF(O13&gt;F13,O13-F13,0)</f>
        <v/>
      </c>
      <c r="O13">
        <f>DATE(2025,3,25)</f>
        <v/>
      </c>
    </row>
    <row r="14">
      <c r="A14">
        <f>'Case Study II'!B23</f>
        <v/>
      </c>
      <c r="B14">
        <f>'Case Study II'!I23</f>
        <v/>
      </c>
      <c r="C14">
        <f>'Case Study II'!D23</f>
        <v/>
      </c>
      <c r="D14">
        <f>'Case Study II'!E23</f>
        <v/>
      </c>
      <c r="E14">
        <f>'Case Study II'!F23</f>
        <v/>
      </c>
      <c r="F14">
        <f>'Case Study II'!G23</f>
        <v/>
      </c>
      <c r="G14">
        <f>INDEX('Case Study II'!I11:L18, MATCH(B14, INDEX('Case Study II'!I11:L18,,1), 0), 2)</f>
        <v/>
      </c>
      <c r="H14">
        <f>INDEX('Case Study II'!I11:L18, MATCH(B14, INDEX('Case Study II'!I11:L18,,1), 0), 3)</f>
        <v/>
      </c>
      <c r="I14">
        <f>INDEX('Case Study II'!I11:L18, MATCH(B14, INDEX('Case Study II'!I11:L18,,1), 0), 4)</f>
        <v/>
      </c>
      <c r="J14" s="59">
        <f>C14*E14*I14</f>
        <v/>
      </c>
      <c r="K14" s="60">
        <f>J14*H14</f>
        <v/>
      </c>
      <c r="L14">
        <f>IF(D14='Interview',1,0)</f>
        <v/>
      </c>
      <c r="M14">
        <f>IF(O14&gt;F14,'Delayed','On time')</f>
        <v/>
      </c>
      <c r="N14" s="61">
        <f>IF(O14&gt;F14,O14-F14,0)</f>
        <v/>
      </c>
      <c r="O14">
        <f>DATE(2025,3,25)</f>
        <v/>
      </c>
    </row>
    <row r="15">
      <c r="A15">
        <f>'Case Study II'!B24</f>
        <v/>
      </c>
      <c r="B15">
        <f>'Case Study II'!I24</f>
        <v/>
      </c>
      <c r="C15">
        <f>'Case Study II'!D24</f>
        <v/>
      </c>
      <c r="D15">
        <f>'Case Study II'!E24</f>
        <v/>
      </c>
      <c r="E15">
        <f>'Case Study II'!F24</f>
        <v/>
      </c>
      <c r="F15">
        <f>'Case Study II'!G24</f>
        <v/>
      </c>
      <c r="G15">
        <f>INDEX('Case Study II'!I11:L18, MATCH(B15, INDEX('Case Study II'!I11:L18,,1), 0), 2)</f>
        <v/>
      </c>
      <c r="H15">
        <f>INDEX('Case Study II'!I11:L18, MATCH(B15, INDEX('Case Study II'!I11:L18,,1), 0), 3)</f>
        <v/>
      </c>
      <c r="I15">
        <f>INDEX('Case Study II'!I11:L18, MATCH(B15, INDEX('Case Study II'!I11:L18,,1), 0), 4)</f>
        <v/>
      </c>
      <c r="J15" s="59">
        <f>C15*E15*I15</f>
        <v/>
      </c>
      <c r="K15" s="60">
        <f>J15*H15</f>
        <v/>
      </c>
      <c r="L15">
        <f>IF(D15='Interview',1,0)</f>
        <v/>
      </c>
      <c r="M15">
        <f>IF(O15&gt;F15,'Delayed','On time')</f>
        <v/>
      </c>
      <c r="N15" s="61">
        <f>IF(O15&gt;F15,O15-F15,0)</f>
        <v/>
      </c>
      <c r="O15">
        <f>DATE(2025,3,25)</f>
        <v/>
      </c>
    </row>
    <row r="16">
      <c r="A16">
        <f>'Case Study II'!B25</f>
        <v/>
      </c>
      <c r="B16">
        <f>'Case Study II'!I25</f>
        <v/>
      </c>
      <c r="C16">
        <f>'Case Study II'!D25</f>
        <v/>
      </c>
      <c r="D16">
        <f>'Case Study II'!E25</f>
        <v/>
      </c>
      <c r="E16">
        <f>'Case Study II'!F25</f>
        <v/>
      </c>
      <c r="F16">
        <f>'Case Study II'!G25</f>
        <v/>
      </c>
      <c r="G16">
        <f>INDEX('Case Study II'!I11:L18, MATCH(B16, INDEX('Case Study II'!I11:L18,,1), 0), 2)</f>
        <v/>
      </c>
      <c r="H16">
        <f>INDEX('Case Study II'!I11:L18, MATCH(B16, INDEX('Case Study II'!I11:L18,,1), 0), 3)</f>
        <v/>
      </c>
      <c r="I16">
        <f>INDEX('Case Study II'!I11:L18, MATCH(B16, INDEX('Case Study II'!I11:L18,,1), 0), 4)</f>
        <v/>
      </c>
      <c r="J16" s="59">
        <f>C16*E16*I16</f>
        <v/>
      </c>
      <c r="K16" s="60">
        <f>J16*H16</f>
        <v/>
      </c>
      <c r="L16">
        <f>IF(D16='Interview',1,0)</f>
        <v/>
      </c>
      <c r="M16">
        <f>IF(O16&gt;F16,'Delayed','On time')</f>
        <v/>
      </c>
      <c r="N16" s="61">
        <f>IF(O16&gt;F16,O16-F16,0)</f>
        <v/>
      </c>
      <c r="O16">
        <f>DATE(2025,3,25)</f>
        <v/>
      </c>
    </row>
    <row r="17">
      <c r="A17">
        <f>'Case Study II'!B26</f>
        <v/>
      </c>
      <c r="B17">
        <f>'Case Study II'!I26</f>
        <v/>
      </c>
      <c r="C17">
        <f>'Case Study II'!D26</f>
        <v/>
      </c>
      <c r="D17">
        <f>'Case Study II'!E26</f>
        <v/>
      </c>
      <c r="E17">
        <f>'Case Study II'!F26</f>
        <v/>
      </c>
      <c r="F17">
        <f>'Case Study II'!G26</f>
        <v/>
      </c>
      <c r="G17">
        <f>INDEX('Case Study II'!I11:L18, MATCH(B17, INDEX('Case Study II'!I11:L18,,1), 0), 2)</f>
        <v/>
      </c>
      <c r="H17">
        <f>INDEX('Case Study II'!I11:L18, MATCH(B17, INDEX('Case Study II'!I11:L18,,1), 0), 3)</f>
        <v/>
      </c>
      <c r="I17">
        <f>INDEX('Case Study II'!I11:L18, MATCH(B17, INDEX('Case Study II'!I11:L18,,1), 0), 4)</f>
        <v/>
      </c>
      <c r="J17" s="59">
        <f>C17*E17*I17</f>
        <v/>
      </c>
      <c r="K17" s="60">
        <f>J17*H17</f>
        <v/>
      </c>
      <c r="L17">
        <f>IF(D17='Interview',1,0)</f>
        <v/>
      </c>
      <c r="M17">
        <f>IF(O17&gt;F17,'Delayed','On time')</f>
        <v/>
      </c>
      <c r="N17" s="61">
        <f>IF(O17&gt;F17,O17-F17,0)</f>
        <v/>
      </c>
      <c r="O17">
        <f>DATE(2025,3,25)</f>
        <v/>
      </c>
    </row>
    <row r="18">
      <c r="A18">
        <f>'Case Study II'!B27</f>
        <v/>
      </c>
      <c r="B18">
        <f>'Case Study II'!I27</f>
        <v/>
      </c>
      <c r="C18">
        <f>'Case Study II'!D27</f>
        <v/>
      </c>
      <c r="D18">
        <f>'Case Study II'!E27</f>
        <v/>
      </c>
      <c r="E18">
        <f>'Case Study II'!F27</f>
        <v/>
      </c>
      <c r="F18">
        <f>'Case Study II'!G27</f>
        <v/>
      </c>
      <c r="G18">
        <f>INDEX('Case Study II'!I11:L18, MATCH(B18, INDEX('Case Study II'!I11:L18,,1), 0), 2)</f>
        <v/>
      </c>
      <c r="H18">
        <f>INDEX('Case Study II'!I11:L18, MATCH(B18, INDEX('Case Study II'!I11:L18,,1), 0), 3)</f>
        <v/>
      </c>
      <c r="I18">
        <f>INDEX('Case Study II'!I11:L18, MATCH(B18, INDEX('Case Study II'!I11:L18,,1), 0), 4)</f>
        <v/>
      </c>
      <c r="J18" s="59">
        <f>C18*E18*I18</f>
        <v/>
      </c>
      <c r="K18" s="60">
        <f>J18*H18</f>
        <v/>
      </c>
      <c r="L18">
        <f>IF(D18='Interview',1,0)</f>
        <v/>
      </c>
      <c r="M18">
        <f>IF(O18&gt;F18,'Delayed','On time')</f>
        <v/>
      </c>
      <c r="N18" s="61">
        <f>IF(O18&gt;F18,O18-F18,0)</f>
        <v/>
      </c>
      <c r="O18">
        <f>DATE(2025,3,25)</f>
        <v/>
      </c>
    </row>
    <row r="19">
      <c r="A19">
        <f>'Case Study II'!B28</f>
        <v/>
      </c>
      <c r="B19">
        <f>'Case Study II'!I28</f>
        <v/>
      </c>
      <c r="C19">
        <f>'Case Study II'!D28</f>
        <v/>
      </c>
      <c r="D19">
        <f>'Case Study II'!E28</f>
        <v/>
      </c>
      <c r="E19">
        <f>'Case Study II'!F28</f>
        <v/>
      </c>
      <c r="F19">
        <f>'Case Study II'!G28</f>
        <v/>
      </c>
      <c r="G19">
        <f>INDEX('Case Study II'!I11:L18, MATCH(B19, INDEX('Case Study II'!I11:L18,,1), 0), 2)</f>
        <v/>
      </c>
      <c r="H19">
        <f>INDEX('Case Study II'!I11:L18, MATCH(B19, INDEX('Case Study II'!I11:L18,,1), 0), 3)</f>
        <v/>
      </c>
      <c r="I19">
        <f>INDEX('Case Study II'!I11:L18, MATCH(B19, INDEX('Case Study II'!I11:L18,,1), 0), 4)</f>
        <v/>
      </c>
      <c r="J19" s="59">
        <f>C19*E19*I19</f>
        <v/>
      </c>
      <c r="K19" s="60">
        <f>J19*H19</f>
        <v/>
      </c>
      <c r="L19">
        <f>IF(D19='Interview',1,0)</f>
        <v/>
      </c>
      <c r="M19">
        <f>IF(O19&gt;F19,'Delayed','On time')</f>
        <v/>
      </c>
      <c r="N19" s="61">
        <f>IF(O19&gt;F19,O19-F19,0)</f>
        <v/>
      </c>
      <c r="O19">
        <f>DATE(2025,3,25)</f>
        <v/>
      </c>
    </row>
    <row r="20">
      <c r="A20">
        <f>'Case Study II'!B29</f>
        <v/>
      </c>
      <c r="B20">
        <f>'Case Study II'!I29</f>
        <v/>
      </c>
      <c r="C20">
        <f>'Case Study II'!D29</f>
        <v/>
      </c>
      <c r="D20">
        <f>'Case Study II'!E29</f>
        <v/>
      </c>
      <c r="E20">
        <f>'Case Study II'!F29</f>
        <v/>
      </c>
      <c r="F20">
        <f>'Case Study II'!G29</f>
        <v/>
      </c>
      <c r="G20">
        <f>INDEX('Case Study II'!I11:L18, MATCH(B20, INDEX('Case Study II'!I11:L18,,1), 0), 2)</f>
        <v/>
      </c>
      <c r="H20">
        <f>INDEX('Case Study II'!I11:L18, MATCH(B20, INDEX('Case Study II'!I11:L18,,1), 0), 3)</f>
        <v/>
      </c>
      <c r="I20">
        <f>INDEX('Case Study II'!I11:L18, MATCH(B20, INDEX('Case Study II'!I11:L18,,1), 0), 4)</f>
        <v/>
      </c>
      <c r="J20" s="59">
        <f>C20*E20*I20</f>
        <v/>
      </c>
      <c r="K20" s="60">
        <f>J20*H20</f>
        <v/>
      </c>
      <c r="L20">
        <f>IF(D20='Interview',1,0)</f>
        <v/>
      </c>
      <c r="M20">
        <f>IF(O20&gt;F20,'Delayed','On time')</f>
        <v/>
      </c>
      <c r="N20" s="61">
        <f>IF(O20&gt;F20,O20-F20,0)</f>
        <v/>
      </c>
      <c r="O20">
        <f>DATE(2025,3,25)</f>
        <v/>
      </c>
    </row>
    <row r="21">
      <c r="A21">
        <f>'Case Study II'!B30</f>
        <v/>
      </c>
      <c r="B21">
        <f>'Case Study II'!I30</f>
        <v/>
      </c>
      <c r="C21">
        <f>'Case Study II'!D30</f>
        <v/>
      </c>
      <c r="D21">
        <f>'Case Study II'!E30</f>
        <v/>
      </c>
      <c r="E21">
        <f>'Case Study II'!F30</f>
        <v/>
      </c>
      <c r="F21">
        <f>'Case Study II'!G30</f>
        <v/>
      </c>
      <c r="G21">
        <f>INDEX('Case Study II'!I11:L18, MATCH(B21, INDEX('Case Study II'!I11:L18,,1), 0), 2)</f>
        <v/>
      </c>
      <c r="H21">
        <f>INDEX('Case Study II'!I11:L18, MATCH(B21, INDEX('Case Study II'!I11:L18,,1), 0), 3)</f>
        <v/>
      </c>
      <c r="I21">
        <f>INDEX('Case Study II'!I11:L18, MATCH(B21, INDEX('Case Study II'!I11:L18,,1), 0), 4)</f>
        <v/>
      </c>
      <c r="J21" s="59">
        <f>C21*E21*I21</f>
        <v/>
      </c>
      <c r="K21" s="60">
        <f>J21*H21</f>
        <v/>
      </c>
      <c r="L21">
        <f>IF(D21='Interview',1,0)</f>
        <v/>
      </c>
      <c r="M21">
        <f>IF(O21&gt;F21,'Delayed','On time')</f>
        <v/>
      </c>
      <c r="N21" s="61">
        <f>IF(O21&gt;F21,O21-F21,0)</f>
        <v/>
      </c>
      <c r="O21">
        <f>DATE(2025,3,25)</f>
        <v/>
      </c>
    </row>
    <row r="22">
      <c r="A22">
        <f>'Case Study II'!B31</f>
        <v/>
      </c>
      <c r="B22">
        <f>'Case Study II'!I31</f>
        <v/>
      </c>
      <c r="C22">
        <f>'Case Study II'!D31</f>
        <v/>
      </c>
      <c r="D22">
        <f>'Case Study II'!E31</f>
        <v/>
      </c>
      <c r="E22">
        <f>'Case Study II'!F31</f>
        <v/>
      </c>
      <c r="F22">
        <f>'Case Study II'!G31</f>
        <v/>
      </c>
      <c r="G22">
        <f>INDEX('Case Study II'!I11:L18, MATCH(B22, INDEX('Case Study II'!I11:L18,,1), 0), 2)</f>
        <v/>
      </c>
      <c r="H22">
        <f>INDEX('Case Study II'!I11:L18, MATCH(B22, INDEX('Case Study II'!I11:L18,,1), 0), 3)</f>
        <v/>
      </c>
      <c r="I22">
        <f>INDEX('Case Study II'!I11:L18, MATCH(B22, INDEX('Case Study II'!I11:L18,,1), 0), 4)</f>
        <v/>
      </c>
      <c r="J22" s="59">
        <f>C22*E22*I22</f>
        <v/>
      </c>
      <c r="K22" s="60">
        <f>J22*H22</f>
        <v/>
      </c>
      <c r="L22">
        <f>IF(D22='Interview',1,0)</f>
        <v/>
      </c>
      <c r="M22">
        <f>IF(O22&gt;F22,'Delayed','On time')</f>
        <v/>
      </c>
      <c r="N22" s="61">
        <f>IF(O22&gt;F22,O22-F22,0)</f>
        <v/>
      </c>
      <c r="O22">
        <f>DATE(2025,3,25)</f>
        <v/>
      </c>
    </row>
    <row r="23">
      <c r="A23">
        <f>'Case Study II'!B32</f>
        <v/>
      </c>
      <c r="B23">
        <f>'Case Study II'!I32</f>
        <v/>
      </c>
      <c r="C23">
        <f>'Case Study II'!D32</f>
        <v/>
      </c>
      <c r="D23">
        <f>'Case Study II'!E32</f>
        <v/>
      </c>
      <c r="E23">
        <f>'Case Study II'!F32</f>
        <v/>
      </c>
      <c r="F23">
        <f>'Case Study II'!G32</f>
        <v/>
      </c>
      <c r="G23">
        <f>INDEX('Case Study II'!I11:L18, MATCH(B23, INDEX('Case Study II'!I11:L18,,1), 0), 2)</f>
        <v/>
      </c>
      <c r="H23">
        <f>INDEX('Case Study II'!I11:L18, MATCH(B23, INDEX('Case Study II'!I11:L18,,1), 0), 3)</f>
        <v/>
      </c>
      <c r="I23">
        <f>INDEX('Case Study II'!I11:L18, MATCH(B23, INDEX('Case Study II'!I11:L18,,1), 0), 4)</f>
        <v/>
      </c>
      <c r="J23" s="59">
        <f>C23*E23*I23</f>
        <v/>
      </c>
      <c r="K23" s="60">
        <f>J23*H23</f>
        <v/>
      </c>
      <c r="L23">
        <f>IF(D23='Interview',1,0)</f>
        <v/>
      </c>
      <c r="M23">
        <f>IF(O23&gt;F23,'Delayed','On time')</f>
        <v/>
      </c>
      <c r="N23" s="61">
        <f>IF(O23&gt;F23,O23-F23,0)</f>
        <v/>
      </c>
      <c r="O23">
        <f>DATE(2025,3,25)</f>
        <v/>
      </c>
    </row>
    <row r="24">
      <c r="A24">
        <f>'Case Study II'!B33</f>
        <v/>
      </c>
      <c r="B24">
        <f>'Case Study II'!I33</f>
        <v/>
      </c>
      <c r="C24">
        <f>'Case Study II'!D33</f>
        <v/>
      </c>
      <c r="D24">
        <f>'Case Study II'!E33</f>
        <v/>
      </c>
      <c r="E24">
        <f>'Case Study II'!F33</f>
        <v/>
      </c>
      <c r="F24">
        <f>'Case Study II'!G33</f>
        <v/>
      </c>
      <c r="G24">
        <f>INDEX('Case Study II'!I11:L18, MATCH(B24, INDEX('Case Study II'!I11:L18,,1), 0), 2)</f>
        <v/>
      </c>
      <c r="H24">
        <f>INDEX('Case Study II'!I11:L18, MATCH(B24, INDEX('Case Study II'!I11:L18,,1), 0), 3)</f>
        <v/>
      </c>
      <c r="I24">
        <f>INDEX('Case Study II'!I11:L18, MATCH(B24, INDEX('Case Study II'!I11:L18,,1), 0), 4)</f>
        <v/>
      </c>
      <c r="J24" s="59">
        <f>C24*E24*I24</f>
        <v/>
      </c>
      <c r="K24" s="60">
        <f>J24*H24</f>
        <v/>
      </c>
      <c r="L24">
        <f>IF(D24='Interview',1,0)</f>
        <v/>
      </c>
      <c r="M24">
        <f>IF(O24&gt;F24,'Delayed','On time')</f>
        <v/>
      </c>
      <c r="N24" s="61">
        <f>IF(O24&gt;F24,O24-F24,0)</f>
        <v/>
      </c>
      <c r="O24">
        <f>DATE(2025,3,25)</f>
        <v/>
      </c>
    </row>
    <row r="25">
      <c r="A25">
        <f>'Case Study II'!B34</f>
        <v/>
      </c>
      <c r="B25">
        <f>'Case Study II'!I34</f>
        <v/>
      </c>
      <c r="C25">
        <f>'Case Study II'!D34</f>
        <v/>
      </c>
      <c r="D25">
        <f>'Case Study II'!E34</f>
        <v/>
      </c>
      <c r="E25">
        <f>'Case Study II'!F34</f>
        <v/>
      </c>
      <c r="F25">
        <f>'Case Study II'!G34</f>
        <v/>
      </c>
      <c r="G25">
        <f>INDEX('Case Study II'!I11:L18, MATCH(B25, INDEX('Case Study II'!I11:L18,,1), 0), 2)</f>
        <v/>
      </c>
      <c r="H25">
        <f>INDEX('Case Study II'!I11:L18, MATCH(B25, INDEX('Case Study II'!I11:L18,,1), 0), 3)</f>
        <v/>
      </c>
      <c r="I25">
        <f>INDEX('Case Study II'!I11:L18, MATCH(B25, INDEX('Case Study II'!I11:L18,,1), 0), 4)</f>
        <v/>
      </c>
      <c r="J25" s="59">
        <f>C25*E25*I25</f>
        <v/>
      </c>
      <c r="K25" s="60">
        <f>J25*H25</f>
        <v/>
      </c>
      <c r="L25">
        <f>IF(D25='Interview',1,0)</f>
        <v/>
      </c>
      <c r="M25">
        <f>IF(O25&gt;F25,'Delayed','On time')</f>
        <v/>
      </c>
      <c r="N25" s="61">
        <f>IF(O25&gt;F25,O25-F25,0)</f>
        <v/>
      </c>
      <c r="O25">
        <f>DATE(2025,3,25)</f>
        <v/>
      </c>
    </row>
    <row r="26">
      <c r="A26">
        <f>'Case Study II'!B35</f>
        <v/>
      </c>
      <c r="B26">
        <f>'Case Study II'!I35</f>
        <v/>
      </c>
      <c r="C26">
        <f>'Case Study II'!D35</f>
        <v/>
      </c>
      <c r="D26">
        <f>'Case Study II'!E35</f>
        <v/>
      </c>
      <c r="E26">
        <f>'Case Study II'!F35</f>
        <v/>
      </c>
      <c r="F26">
        <f>'Case Study II'!G35</f>
        <v/>
      </c>
      <c r="G26">
        <f>INDEX('Case Study II'!I11:L18, MATCH(B26, INDEX('Case Study II'!I11:L18,,1), 0), 2)</f>
        <v/>
      </c>
      <c r="H26">
        <f>INDEX('Case Study II'!I11:L18, MATCH(B26, INDEX('Case Study II'!I11:L18,,1), 0), 3)</f>
        <v/>
      </c>
      <c r="I26">
        <f>INDEX('Case Study II'!I11:L18, MATCH(B26, INDEX('Case Study II'!I11:L18,,1), 0), 4)</f>
        <v/>
      </c>
      <c r="J26" s="59">
        <f>C26*E26*I26</f>
        <v/>
      </c>
      <c r="K26" s="60">
        <f>J26*H26</f>
        <v/>
      </c>
      <c r="L26">
        <f>IF(D26='Interview',1,0)</f>
        <v/>
      </c>
      <c r="M26">
        <f>IF(O26&gt;F26,'Delayed','On time')</f>
        <v/>
      </c>
      <c r="N26" s="61">
        <f>IF(O26&gt;F26,O26-F26,0)</f>
        <v/>
      </c>
      <c r="O26">
        <f>DATE(2025,3,25)</f>
        <v/>
      </c>
    </row>
    <row r="27">
      <c r="A27">
        <f>'Case Study II'!B36</f>
        <v/>
      </c>
      <c r="B27">
        <f>'Case Study II'!I36</f>
        <v/>
      </c>
      <c r="C27">
        <f>'Case Study II'!D36</f>
        <v/>
      </c>
      <c r="D27">
        <f>'Case Study II'!E36</f>
        <v/>
      </c>
      <c r="E27">
        <f>'Case Study II'!F36</f>
        <v/>
      </c>
      <c r="F27">
        <f>'Case Study II'!G36</f>
        <v/>
      </c>
      <c r="G27">
        <f>INDEX('Case Study II'!I11:L18, MATCH(B27, INDEX('Case Study II'!I11:L18,,1), 0), 2)</f>
        <v/>
      </c>
      <c r="H27">
        <f>INDEX('Case Study II'!I11:L18, MATCH(B27, INDEX('Case Study II'!I11:L18,,1), 0), 3)</f>
        <v/>
      </c>
      <c r="I27">
        <f>INDEX('Case Study II'!I11:L18, MATCH(B27, INDEX('Case Study II'!I11:L18,,1), 0), 4)</f>
        <v/>
      </c>
      <c r="J27" s="59">
        <f>C27*E27*I27</f>
        <v/>
      </c>
      <c r="K27" s="60">
        <f>J27*H27</f>
        <v/>
      </c>
      <c r="L27">
        <f>IF(D27='Interview',1,0)</f>
        <v/>
      </c>
      <c r="M27">
        <f>IF(O27&gt;F27,'Delayed','On time')</f>
        <v/>
      </c>
      <c r="N27" s="61">
        <f>IF(O27&gt;F27,O27-F27,0)</f>
        <v/>
      </c>
      <c r="O27">
        <f>DATE(2025,3,25)</f>
        <v/>
      </c>
    </row>
    <row r="28">
      <c r="A28">
        <f>'Case Study II'!B37</f>
        <v/>
      </c>
      <c r="B28">
        <f>'Case Study II'!I37</f>
        <v/>
      </c>
      <c r="C28">
        <f>'Case Study II'!D37</f>
        <v/>
      </c>
      <c r="D28">
        <f>'Case Study II'!E37</f>
        <v/>
      </c>
      <c r="E28">
        <f>'Case Study II'!F37</f>
        <v/>
      </c>
      <c r="F28">
        <f>'Case Study II'!G37</f>
        <v/>
      </c>
      <c r="G28">
        <f>INDEX('Case Study II'!I11:L18, MATCH(B28, INDEX('Case Study II'!I11:L18,,1), 0), 2)</f>
        <v/>
      </c>
      <c r="H28">
        <f>INDEX('Case Study II'!I11:L18, MATCH(B28, INDEX('Case Study II'!I11:L18,,1), 0), 3)</f>
        <v/>
      </c>
      <c r="I28">
        <f>INDEX('Case Study II'!I11:L18, MATCH(B28, INDEX('Case Study II'!I11:L18,,1), 0), 4)</f>
        <v/>
      </c>
      <c r="J28" s="59">
        <f>C28*E28*I28</f>
        <v/>
      </c>
      <c r="K28" s="60">
        <f>J28*H28</f>
        <v/>
      </c>
      <c r="L28">
        <f>IF(D28='Interview',1,0)</f>
        <v/>
      </c>
      <c r="M28">
        <f>IF(O28&gt;F28,'Delayed','On time')</f>
        <v/>
      </c>
      <c r="N28" s="61">
        <f>IF(O28&gt;F28,O28-F28,0)</f>
        <v/>
      </c>
      <c r="O28">
        <f>DATE(2025,3,25)</f>
        <v/>
      </c>
    </row>
    <row r="29">
      <c r="A29">
        <f>'Case Study II'!B38</f>
        <v/>
      </c>
      <c r="B29">
        <f>'Case Study II'!I38</f>
        <v/>
      </c>
      <c r="C29">
        <f>'Case Study II'!D38</f>
        <v/>
      </c>
      <c r="D29">
        <f>'Case Study II'!E38</f>
        <v/>
      </c>
      <c r="E29">
        <f>'Case Study II'!F38</f>
        <v/>
      </c>
      <c r="F29">
        <f>'Case Study II'!G38</f>
        <v/>
      </c>
      <c r="G29">
        <f>INDEX('Case Study II'!I11:L18, MATCH(B29, INDEX('Case Study II'!I11:L18,,1), 0), 2)</f>
        <v/>
      </c>
      <c r="H29">
        <f>INDEX('Case Study II'!I11:L18, MATCH(B29, INDEX('Case Study II'!I11:L18,,1), 0), 3)</f>
        <v/>
      </c>
      <c r="I29">
        <f>INDEX('Case Study II'!I11:L18, MATCH(B29, INDEX('Case Study II'!I11:L18,,1), 0), 4)</f>
        <v/>
      </c>
      <c r="J29" s="59">
        <f>C29*E29*I29</f>
        <v/>
      </c>
      <c r="K29" s="60">
        <f>J29*H29</f>
        <v/>
      </c>
      <c r="L29">
        <f>IF(D29='Interview',1,0)</f>
        <v/>
      </c>
      <c r="M29">
        <f>IF(O29&gt;F29,'Delayed','On time')</f>
        <v/>
      </c>
      <c r="N29" s="61">
        <f>IF(O29&gt;F29,O29-F29,0)</f>
        <v/>
      </c>
      <c r="O29">
        <f>DATE(2025,3,25)</f>
        <v/>
      </c>
    </row>
    <row r="30">
      <c r="A30">
        <f>'Case Study II'!B39</f>
        <v/>
      </c>
      <c r="B30">
        <f>'Case Study II'!I39</f>
        <v/>
      </c>
      <c r="C30">
        <f>'Case Study II'!D39</f>
        <v/>
      </c>
      <c r="D30">
        <f>'Case Study II'!E39</f>
        <v/>
      </c>
      <c r="E30">
        <f>'Case Study II'!F39</f>
        <v/>
      </c>
      <c r="F30">
        <f>'Case Study II'!G39</f>
        <v/>
      </c>
      <c r="G30">
        <f>INDEX('Case Study II'!I11:L18, MATCH(B30, INDEX('Case Study II'!I11:L18,,1), 0), 2)</f>
        <v/>
      </c>
      <c r="H30">
        <f>INDEX('Case Study II'!I11:L18, MATCH(B30, INDEX('Case Study II'!I11:L18,,1), 0), 3)</f>
        <v/>
      </c>
      <c r="I30">
        <f>INDEX('Case Study II'!I11:L18, MATCH(B30, INDEX('Case Study II'!I11:L18,,1), 0), 4)</f>
        <v/>
      </c>
      <c r="J30" s="59">
        <f>C30*E30*I30</f>
        <v/>
      </c>
      <c r="K30" s="60">
        <f>J30*H30</f>
        <v/>
      </c>
      <c r="L30">
        <f>IF(D30='Interview',1,0)</f>
        <v/>
      </c>
      <c r="M30">
        <f>IF(O30&gt;F30,'Delayed','On time')</f>
        <v/>
      </c>
      <c r="N30" s="61">
        <f>IF(O30&gt;F30,O30-F30,0)</f>
        <v/>
      </c>
      <c r="O30">
        <f>DATE(2025,3,25)</f>
        <v/>
      </c>
    </row>
    <row r="31">
      <c r="A31">
        <f>'Case Study II'!B40</f>
        <v/>
      </c>
      <c r="B31">
        <f>'Case Study II'!I40</f>
        <v/>
      </c>
      <c r="C31">
        <f>'Case Study II'!D40</f>
        <v/>
      </c>
      <c r="D31">
        <f>'Case Study II'!E40</f>
        <v/>
      </c>
      <c r="E31">
        <f>'Case Study II'!F40</f>
        <v/>
      </c>
      <c r="F31">
        <f>'Case Study II'!G40</f>
        <v/>
      </c>
      <c r="G31">
        <f>INDEX('Case Study II'!I11:L18, MATCH(B31, INDEX('Case Study II'!I11:L18,,1), 0), 2)</f>
        <v/>
      </c>
      <c r="H31">
        <f>INDEX('Case Study II'!I11:L18, MATCH(B31, INDEX('Case Study II'!I11:L18,,1), 0), 3)</f>
        <v/>
      </c>
      <c r="I31">
        <f>INDEX('Case Study II'!I11:L18, MATCH(B31, INDEX('Case Study II'!I11:L18,,1), 0), 4)</f>
        <v/>
      </c>
      <c r="J31" s="59">
        <f>C31*E31*I31</f>
        <v/>
      </c>
      <c r="K31" s="60">
        <f>J31*H31</f>
        <v/>
      </c>
      <c r="L31">
        <f>IF(D31='Interview',1,0)</f>
        <v/>
      </c>
      <c r="M31">
        <f>IF(O31&gt;F31,'Delayed','On time')</f>
        <v/>
      </c>
      <c r="N31" s="61">
        <f>IF(O31&gt;F31,O31-F31,0)</f>
        <v/>
      </c>
      <c r="O31">
        <f>DATE(2025,3,25)</f>
        <v/>
      </c>
    </row>
    <row r="32">
      <c r="A32">
        <f>'Case Study II'!B41</f>
        <v/>
      </c>
      <c r="B32">
        <f>'Case Study II'!I41</f>
        <v/>
      </c>
      <c r="C32">
        <f>'Case Study II'!D41</f>
        <v/>
      </c>
      <c r="D32">
        <f>'Case Study II'!E41</f>
        <v/>
      </c>
      <c r="E32">
        <f>'Case Study II'!F41</f>
        <v/>
      </c>
      <c r="F32">
        <f>'Case Study II'!G41</f>
        <v/>
      </c>
      <c r="G32">
        <f>INDEX('Case Study II'!I11:L18, MATCH(B32, INDEX('Case Study II'!I11:L18,,1), 0), 2)</f>
        <v/>
      </c>
      <c r="H32">
        <f>INDEX('Case Study II'!I11:L18, MATCH(B32, INDEX('Case Study II'!I11:L18,,1), 0), 3)</f>
        <v/>
      </c>
      <c r="I32">
        <f>INDEX('Case Study II'!I11:L18, MATCH(B32, INDEX('Case Study II'!I11:L18,,1), 0), 4)</f>
        <v/>
      </c>
      <c r="J32" s="59">
        <f>C32*E32*I32</f>
        <v/>
      </c>
      <c r="K32" s="60">
        <f>J32*H32</f>
        <v/>
      </c>
      <c r="L32">
        <f>IF(D32='Interview',1,0)</f>
        <v/>
      </c>
      <c r="M32">
        <f>IF(O32&gt;F32,'Delayed','On time')</f>
        <v/>
      </c>
      <c r="N32" s="61">
        <f>IF(O32&gt;F32,O32-F32,0)</f>
        <v/>
      </c>
      <c r="O32">
        <f>DATE(2025,3,25)</f>
        <v/>
      </c>
    </row>
    <row r="33">
      <c r="A33">
        <f>'Case Study II'!B42</f>
        <v/>
      </c>
      <c r="B33">
        <f>'Case Study II'!I42</f>
        <v/>
      </c>
      <c r="C33">
        <f>'Case Study II'!D42</f>
        <v/>
      </c>
      <c r="D33">
        <f>'Case Study II'!E42</f>
        <v/>
      </c>
      <c r="E33">
        <f>'Case Study II'!F42</f>
        <v/>
      </c>
      <c r="F33">
        <f>'Case Study II'!G42</f>
        <v/>
      </c>
      <c r="G33">
        <f>INDEX('Case Study II'!I11:L18, MATCH(B33, INDEX('Case Study II'!I11:L18,,1), 0), 2)</f>
        <v/>
      </c>
      <c r="H33">
        <f>INDEX('Case Study II'!I11:L18, MATCH(B33, INDEX('Case Study II'!I11:L18,,1), 0), 3)</f>
        <v/>
      </c>
      <c r="I33">
        <f>INDEX('Case Study II'!I11:L18, MATCH(B33, INDEX('Case Study II'!I11:L18,,1), 0), 4)</f>
        <v/>
      </c>
      <c r="J33" s="59">
        <f>C33*E33*I33</f>
        <v/>
      </c>
      <c r="K33" s="60">
        <f>J33*H33</f>
        <v/>
      </c>
      <c r="L33">
        <f>IF(D33='Interview',1,0)</f>
        <v/>
      </c>
      <c r="M33">
        <f>IF(O33&gt;F33,'Delayed','On time')</f>
        <v/>
      </c>
      <c r="N33" s="61">
        <f>IF(O33&gt;F33,O33-F33,0)</f>
        <v/>
      </c>
      <c r="O33">
        <f>DATE(2025,3,25)</f>
        <v/>
      </c>
    </row>
    <row r="34">
      <c r="A34">
        <f>'Case Study II'!B43</f>
        <v/>
      </c>
      <c r="B34">
        <f>'Case Study II'!I43</f>
        <v/>
      </c>
      <c r="C34">
        <f>'Case Study II'!D43</f>
        <v/>
      </c>
      <c r="D34">
        <f>'Case Study II'!E43</f>
        <v/>
      </c>
      <c r="E34">
        <f>'Case Study II'!F43</f>
        <v/>
      </c>
      <c r="F34">
        <f>'Case Study II'!G43</f>
        <v/>
      </c>
      <c r="G34">
        <f>INDEX('Case Study II'!I11:L18, MATCH(B34, INDEX('Case Study II'!I11:L18,,1), 0), 2)</f>
        <v/>
      </c>
      <c r="H34">
        <f>INDEX('Case Study II'!I11:L18, MATCH(B34, INDEX('Case Study II'!I11:L18,,1), 0), 3)</f>
        <v/>
      </c>
      <c r="I34">
        <f>INDEX('Case Study II'!I11:L18, MATCH(B34, INDEX('Case Study II'!I11:L18,,1), 0), 4)</f>
        <v/>
      </c>
      <c r="J34" s="59">
        <f>C34*E34*I34</f>
        <v/>
      </c>
      <c r="K34" s="60">
        <f>J34*H34</f>
        <v/>
      </c>
      <c r="L34">
        <f>IF(D34='Interview',1,0)</f>
        <v/>
      </c>
      <c r="M34">
        <f>IF(O34&gt;F34,'Delayed','On time')</f>
        <v/>
      </c>
      <c r="N34" s="61">
        <f>IF(O34&gt;F34,O34-F34,0)</f>
        <v/>
      </c>
      <c r="O34">
        <f>DATE(2025,3,25)</f>
        <v/>
      </c>
    </row>
    <row r="35">
      <c r="A35">
        <f>'Case Study II'!B44</f>
        <v/>
      </c>
      <c r="B35">
        <f>'Case Study II'!I44</f>
        <v/>
      </c>
      <c r="C35">
        <f>'Case Study II'!D44</f>
        <v/>
      </c>
      <c r="D35">
        <f>'Case Study II'!E44</f>
        <v/>
      </c>
      <c r="E35">
        <f>'Case Study II'!F44</f>
        <v/>
      </c>
      <c r="F35">
        <f>'Case Study II'!G44</f>
        <v/>
      </c>
      <c r="G35">
        <f>INDEX('Case Study II'!I11:L18, MATCH(B35, INDEX('Case Study II'!I11:L18,,1), 0), 2)</f>
        <v/>
      </c>
      <c r="H35">
        <f>INDEX('Case Study II'!I11:L18, MATCH(B35, INDEX('Case Study II'!I11:L18,,1), 0), 3)</f>
        <v/>
      </c>
      <c r="I35">
        <f>INDEX('Case Study II'!I11:L18, MATCH(B35, INDEX('Case Study II'!I11:L18,,1), 0), 4)</f>
        <v/>
      </c>
      <c r="J35" s="59">
        <f>C35*E35*I35</f>
        <v/>
      </c>
      <c r="K35" s="60">
        <f>J35*H35</f>
        <v/>
      </c>
      <c r="L35">
        <f>IF(D35='Interview',1,0)</f>
        <v/>
      </c>
      <c r="M35">
        <f>IF(O35&gt;F35,'Delayed','On time')</f>
        <v/>
      </c>
      <c r="N35" s="61">
        <f>IF(O35&gt;F35,O35-F35,0)</f>
        <v/>
      </c>
      <c r="O35">
        <f>DATE(2025,3,25)</f>
        <v/>
      </c>
    </row>
    <row r="36">
      <c r="A36">
        <f>'Case Study II'!B45</f>
        <v/>
      </c>
      <c r="B36">
        <f>'Case Study II'!I45</f>
        <v/>
      </c>
      <c r="C36">
        <f>'Case Study II'!D45</f>
        <v/>
      </c>
      <c r="D36">
        <f>'Case Study II'!E45</f>
        <v/>
      </c>
      <c r="E36">
        <f>'Case Study II'!F45</f>
        <v/>
      </c>
      <c r="F36">
        <f>'Case Study II'!G45</f>
        <v/>
      </c>
      <c r="G36">
        <f>INDEX('Case Study II'!I11:L18, MATCH(B36, INDEX('Case Study II'!I11:L18,,1), 0), 2)</f>
        <v/>
      </c>
      <c r="H36">
        <f>INDEX('Case Study II'!I11:L18, MATCH(B36, INDEX('Case Study II'!I11:L18,,1), 0), 3)</f>
        <v/>
      </c>
      <c r="I36">
        <f>INDEX('Case Study II'!I11:L18, MATCH(B36, INDEX('Case Study II'!I11:L18,,1), 0), 4)</f>
        <v/>
      </c>
      <c r="J36" s="59">
        <f>C36*E36*I36</f>
        <v/>
      </c>
      <c r="K36" s="60">
        <f>J36*H36</f>
        <v/>
      </c>
      <c r="L36">
        <f>IF(D36='Interview',1,0)</f>
        <v/>
      </c>
      <c r="M36">
        <f>IF(O36&gt;F36,'Delayed','On time')</f>
        <v/>
      </c>
      <c r="N36" s="61">
        <f>IF(O36&gt;F36,O36-F36,0)</f>
        <v/>
      </c>
      <c r="O36">
        <f>DATE(2025,3,25)</f>
        <v/>
      </c>
    </row>
    <row r="37">
      <c r="A37">
        <f>'Case Study II'!B46</f>
        <v/>
      </c>
      <c r="B37">
        <f>'Case Study II'!I46</f>
        <v/>
      </c>
      <c r="C37">
        <f>'Case Study II'!D46</f>
        <v/>
      </c>
      <c r="D37">
        <f>'Case Study II'!E46</f>
        <v/>
      </c>
      <c r="E37">
        <f>'Case Study II'!F46</f>
        <v/>
      </c>
      <c r="F37">
        <f>'Case Study II'!G46</f>
        <v/>
      </c>
      <c r="G37">
        <f>INDEX('Case Study II'!I11:L18, MATCH(B37, INDEX('Case Study II'!I11:L18,,1), 0), 2)</f>
        <v/>
      </c>
      <c r="H37">
        <f>INDEX('Case Study II'!I11:L18, MATCH(B37, INDEX('Case Study II'!I11:L18,,1), 0), 3)</f>
        <v/>
      </c>
      <c r="I37">
        <f>INDEX('Case Study II'!I11:L18, MATCH(B37, INDEX('Case Study II'!I11:L18,,1), 0), 4)</f>
        <v/>
      </c>
      <c r="J37" s="59">
        <f>C37*E37*I37</f>
        <v/>
      </c>
      <c r="K37" s="60">
        <f>J37*H37</f>
        <v/>
      </c>
      <c r="L37">
        <f>IF(D37='Interview',1,0)</f>
        <v/>
      </c>
      <c r="M37">
        <f>IF(O37&gt;F37,'Delayed','On time')</f>
        <v/>
      </c>
      <c r="N37" s="61">
        <f>IF(O37&gt;F37,O37-F37,0)</f>
        <v/>
      </c>
      <c r="O37">
        <f>DATE(2025,3,25)</f>
        <v/>
      </c>
    </row>
    <row r="38">
      <c r="A38">
        <f>'Case Study II'!B47</f>
        <v/>
      </c>
      <c r="B38">
        <f>'Case Study II'!I47</f>
        <v/>
      </c>
      <c r="C38">
        <f>'Case Study II'!D47</f>
        <v/>
      </c>
      <c r="D38">
        <f>'Case Study II'!E47</f>
        <v/>
      </c>
      <c r="E38">
        <f>'Case Study II'!F47</f>
        <v/>
      </c>
      <c r="F38">
        <f>'Case Study II'!G47</f>
        <v/>
      </c>
      <c r="G38">
        <f>INDEX('Case Study II'!I11:L18, MATCH(B38, INDEX('Case Study II'!I11:L18,,1), 0), 2)</f>
        <v/>
      </c>
      <c r="H38">
        <f>INDEX('Case Study II'!I11:L18, MATCH(B38, INDEX('Case Study II'!I11:L18,,1), 0), 3)</f>
        <v/>
      </c>
      <c r="I38">
        <f>INDEX('Case Study II'!I11:L18, MATCH(B38, INDEX('Case Study II'!I11:L18,,1), 0), 4)</f>
        <v/>
      </c>
      <c r="J38" s="59">
        <f>C38*E38*I38</f>
        <v/>
      </c>
      <c r="K38" s="60">
        <f>J38*H38</f>
        <v/>
      </c>
      <c r="L38">
        <f>IF(D38='Interview',1,0)</f>
        <v/>
      </c>
      <c r="M38">
        <f>IF(O38&gt;F38,'Delayed','On time')</f>
        <v/>
      </c>
      <c r="N38" s="61">
        <f>IF(O38&gt;F38,O38-F38,0)</f>
        <v/>
      </c>
      <c r="O38">
        <f>DATE(2025,3,25)</f>
        <v/>
      </c>
    </row>
    <row r="39">
      <c r="A39">
        <f>'Case Study II'!B48</f>
        <v/>
      </c>
      <c r="B39">
        <f>'Case Study II'!I48</f>
        <v/>
      </c>
      <c r="C39">
        <f>'Case Study II'!D48</f>
        <v/>
      </c>
      <c r="D39">
        <f>'Case Study II'!E48</f>
        <v/>
      </c>
      <c r="E39">
        <f>'Case Study II'!F48</f>
        <v/>
      </c>
      <c r="F39">
        <f>'Case Study II'!G48</f>
        <v/>
      </c>
      <c r="G39">
        <f>INDEX('Case Study II'!I11:L18, MATCH(B39, INDEX('Case Study II'!I11:L18,,1), 0), 2)</f>
        <v/>
      </c>
      <c r="H39">
        <f>INDEX('Case Study II'!I11:L18, MATCH(B39, INDEX('Case Study II'!I11:L18,,1), 0), 3)</f>
        <v/>
      </c>
      <c r="I39">
        <f>INDEX('Case Study II'!I11:L18, MATCH(B39, INDEX('Case Study II'!I11:L18,,1), 0), 4)</f>
        <v/>
      </c>
      <c r="J39" s="59">
        <f>C39*E39*I39</f>
        <v/>
      </c>
      <c r="K39" s="60">
        <f>J39*H39</f>
        <v/>
      </c>
      <c r="L39">
        <f>IF(D39='Interview',1,0)</f>
        <v/>
      </c>
      <c r="M39">
        <f>IF(O39&gt;F39,'Delayed','On time')</f>
        <v/>
      </c>
      <c r="N39" s="61">
        <f>IF(O39&gt;F39,O39-F39,0)</f>
        <v/>
      </c>
      <c r="O39">
        <f>DATE(2025,3,25)</f>
        <v/>
      </c>
    </row>
    <row r="40">
      <c r="A40">
        <f>'Case Study II'!B49</f>
        <v/>
      </c>
      <c r="B40">
        <f>'Case Study II'!I49</f>
        <v/>
      </c>
      <c r="C40">
        <f>'Case Study II'!D49</f>
        <v/>
      </c>
      <c r="D40">
        <f>'Case Study II'!E49</f>
        <v/>
      </c>
      <c r="E40">
        <f>'Case Study II'!F49</f>
        <v/>
      </c>
      <c r="F40">
        <f>'Case Study II'!G49</f>
        <v/>
      </c>
      <c r="G40">
        <f>INDEX('Case Study II'!I11:L18, MATCH(B40, INDEX('Case Study II'!I11:L18,,1), 0), 2)</f>
        <v/>
      </c>
      <c r="H40">
        <f>INDEX('Case Study II'!I11:L18, MATCH(B40, INDEX('Case Study II'!I11:L18,,1), 0), 3)</f>
        <v/>
      </c>
      <c r="I40">
        <f>INDEX('Case Study II'!I11:L18, MATCH(B40, INDEX('Case Study II'!I11:L18,,1), 0), 4)</f>
        <v/>
      </c>
      <c r="J40" s="59">
        <f>C40*E40*I40</f>
        <v/>
      </c>
      <c r="K40" s="60">
        <f>J40*H40</f>
        <v/>
      </c>
      <c r="L40">
        <f>IF(D40='Interview',1,0)</f>
        <v/>
      </c>
      <c r="M40">
        <f>IF(O40&gt;F40,'Delayed','On time')</f>
        <v/>
      </c>
      <c r="N40" s="61">
        <f>IF(O40&gt;F40,O40-F40,0)</f>
        <v/>
      </c>
      <c r="O40">
        <f>DATE(2025,3,25)</f>
        <v/>
      </c>
    </row>
    <row r="41">
      <c r="A41">
        <f>'Case Study II'!B50</f>
        <v/>
      </c>
      <c r="B41">
        <f>'Case Study II'!I50</f>
        <v/>
      </c>
      <c r="C41">
        <f>'Case Study II'!D50</f>
        <v/>
      </c>
      <c r="D41">
        <f>'Case Study II'!E50</f>
        <v/>
      </c>
      <c r="E41">
        <f>'Case Study II'!F50</f>
        <v/>
      </c>
      <c r="F41">
        <f>'Case Study II'!G50</f>
        <v/>
      </c>
      <c r="G41">
        <f>INDEX('Case Study II'!I11:L18, MATCH(B41, INDEX('Case Study II'!I11:L18,,1), 0), 2)</f>
        <v/>
      </c>
      <c r="H41">
        <f>INDEX('Case Study II'!I11:L18, MATCH(B41, INDEX('Case Study II'!I11:L18,,1), 0), 3)</f>
        <v/>
      </c>
      <c r="I41">
        <f>INDEX('Case Study II'!I11:L18, MATCH(B41, INDEX('Case Study II'!I11:L18,,1), 0), 4)</f>
        <v/>
      </c>
      <c r="J41" s="59">
        <f>C41*E41*I41</f>
        <v/>
      </c>
      <c r="K41" s="60">
        <f>J41*H41</f>
        <v/>
      </c>
      <c r="L41">
        <f>IF(D41='Interview',1,0)</f>
        <v/>
      </c>
      <c r="M41">
        <f>IF(O41&gt;F41,'Delayed','On time')</f>
        <v/>
      </c>
      <c r="N41" s="61">
        <f>IF(O41&gt;F41,O41-F41,0)</f>
        <v/>
      </c>
      <c r="O41">
        <f>DATE(2025,3,25)</f>
        <v/>
      </c>
    </row>
    <row r="42">
      <c r="A42">
        <f>'Case Study II'!B51</f>
        <v/>
      </c>
      <c r="B42">
        <f>'Case Study II'!I51</f>
        <v/>
      </c>
      <c r="C42">
        <f>'Case Study II'!D51</f>
        <v/>
      </c>
      <c r="D42">
        <f>'Case Study II'!E51</f>
        <v/>
      </c>
      <c r="E42">
        <f>'Case Study II'!F51</f>
        <v/>
      </c>
      <c r="F42">
        <f>'Case Study II'!G51</f>
        <v/>
      </c>
      <c r="G42">
        <f>INDEX('Case Study II'!I11:L18, MATCH(B42, INDEX('Case Study II'!I11:L18,,1), 0), 2)</f>
        <v/>
      </c>
      <c r="H42">
        <f>INDEX('Case Study II'!I11:L18, MATCH(B42, INDEX('Case Study II'!I11:L18,,1), 0), 3)</f>
        <v/>
      </c>
      <c r="I42">
        <f>INDEX('Case Study II'!I11:L18, MATCH(B42, INDEX('Case Study II'!I11:L18,,1), 0), 4)</f>
        <v/>
      </c>
      <c r="J42" s="59">
        <f>C42*E42*I42</f>
        <v/>
      </c>
      <c r="K42" s="60">
        <f>J42*H42</f>
        <v/>
      </c>
      <c r="L42">
        <f>IF(D42='Interview',1,0)</f>
        <v/>
      </c>
      <c r="M42">
        <f>IF(O42&gt;F42,'Delayed','On time')</f>
        <v/>
      </c>
      <c r="N42" s="61">
        <f>IF(O42&gt;F42,O42-F42,0)</f>
        <v/>
      </c>
      <c r="O42">
        <f>DATE(2025,3,25)</f>
        <v/>
      </c>
    </row>
    <row r="43">
      <c r="A43">
        <f>'Case Study II'!B52</f>
        <v/>
      </c>
      <c r="B43">
        <f>'Case Study II'!I52</f>
        <v/>
      </c>
      <c r="C43">
        <f>'Case Study II'!D52</f>
        <v/>
      </c>
      <c r="D43">
        <f>'Case Study II'!E52</f>
        <v/>
      </c>
      <c r="E43">
        <f>'Case Study II'!F52</f>
        <v/>
      </c>
      <c r="F43">
        <f>'Case Study II'!G52</f>
        <v/>
      </c>
      <c r="G43">
        <f>INDEX('Case Study II'!I11:L18, MATCH(B43, INDEX('Case Study II'!I11:L18,,1), 0), 2)</f>
        <v/>
      </c>
      <c r="H43">
        <f>INDEX('Case Study II'!I11:L18, MATCH(B43, INDEX('Case Study II'!I11:L18,,1), 0), 3)</f>
        <v/>
      </c>
      <c r="I43">
        <f>INDEX('Case Study II'!I11:L18, MATCH(B43, INDEX('Case Study II'!I11:L18,,1), 0), 4)</f>
        <v/>
      </c>
      <c r="J43" s="59">
        <f>C43*E43*I43</f>
        <v/>
      </c>
      <c r="K43" s="60">
        <f>J43*H43</f>
        <v/>
      </c>
      <c r="L43">
        <f>IF(D43='Interview',1,0)</f>
        <v/>
      </c>
      <c r="M43">
        <f>IF(O43&gt;F43,'Delayed','On time')</f>
        <v/>
      </c>
      <c r="N43" s="61">
        <f>IF(O43&gt;F43,O43-F43,0)</f>
        <v/>
      </c>
      <c r="O43">
        <f>DATE(2025,3,25)</f>
        <v/>
      </c>
    </row>
    <row r="44">
      <c r="A44">
        <f>'Case Study II'!B53</f>
        <v/>
      </c>
      <c r="B44">
        <f>'Case Study II'!I53</f>
        <v/>
      </c>
      <c r="C44">
        <f>'Case Study II'!D53</f>
        <v/>
      </c>
      <c r="D44">
        <f>'Case Study II'!E53</f>
        <v/>
      </c>
      <c r="E44">
        <f>'Case Study II'!F53</f>
        <v/>
      </c>
      <c r="F44">
        <f>'Case Study II'!G53</f>
        <v/>
      </c>
      <c r="G44">
        <f>INDEX('Case Study II'!I11:L18, MATCH(B44, INDEX('Case Study II'!I11:L18,,1), 0), 2)</f>
        <v/>
      </c>
      <c r="H44">
        <f>INDEX('Case Study II'!I11:L18, MATCH(B44, INDEX('Case Study II'!I11:L18,,1), 0), 3)</f>
        <v/>
      </c>
      <c r="I44">
        <f>INDEX('Case Study II'!I11:L18, MATCH(B44, INDEX('Case Study II'!I11:L18,,1), 0), 4)</f>
        <v/>
      </c>
      <c r="J44" s="59">
        <f>C44*E44*I44</f>
        <v/>
      </c>
      <c r="K44" s="60">
        <f>J44*H44</f>
        <v/>
      </c>
      <c r="L44">
        <f>IF(D44='Interview',1,0)</f>
        <v/>
      </c>
      <c r="M44">
        <f>IF(O44&gt;F44,'Delayed','On time')</f>
        <v/>
      </c>
      <c r="N44" s="61">
        <f>IF(O44&gt;F44,O44-F44,0)</f>
        <v/>
      </c>
      <c r="O44">
        <f>DATE(2025,3,25)</f>
        <v/>
      </c>
    </row>
    <row r="45">
      <c r="A45">
        <f>'Case Study II'!B54</f>
        <v/>
      </c>
      <c r="B45">
        <f>'Case Study II'!I54</f>
        <v/>
      </c>
      <c r="C45">
        <f>'Case Study II'!D54</f>
        <v/>
      </c>
      <c r="D45">
        <f>'Case Study II'!E54</f>
        <v/>
      </c>
      <c r="E45">
        <f>'Case Study II'!F54</f>
        <v/>
      </c>
      <c r="F45">
        <f>'Case Study II'!G54</f>
        <v/>
      </c>
      <c r="G45">
        <f>INDEX('Case Study II'!I11:L18, MATCH(B45, INDEX('Case Study II'!I11:L18,,1), 0), 2)</f>
        <v/>
      </c>
      <c r="H45">
        <f>INDEX('Case Study II'!I11:L18, MATCH(B45, INDEX('Case Study II'!I11:L18,,1), 0), 3)</f>
        <v/>
      </c>
      <c r="I45">
        <f>INDEX('Case Study II'!I11:L18, MATCH(B45, INDEX('Case Study II'!I11:L18,,1), 0), 4)</f>
        <v/>
      </c>
      <c r="J45" s="59">
        <f>C45*E45*I45</f>
        <v/>
      </c>
      <c r="K45" s="60">
        <f>J45*H45</f>
        <v/>
      </c>
      <c r="L45">
        <f>IF(D45='Interview',1,0)</f>
        <v/>
      </c>
      <c r="M45">
        <f>IF(O45&gt;F45,'Delayed','On time')</f>
        <v/>
      </c>
      <c r="N45" s="61">
        <f>IF(O45&gt;F45,O45-F45,0)</f>
        <v/>
      </c>
      <c r="O45">
        <f>DATE(2025,3,25)</f>
        <v/>
      </c>
    </row>
    <row r="46">
      <c r="A46">
        <f>'Case Study II'!B55</f>
        <v/>
      </c>
      <c r="B46">
        <f>'Case Study II'!I55</f>
        <v/>
      </c>
      <c r="C46">
        <f>'Case Study II'!D55</f>
        <v/>
      </c>
      <c r="D46">
        <f>'Case Study II'!E55</f>
        <v/>
      </c>
      <c r="E46">
        <f>'Case Study II'!F55</f>
        <v/>
      </c>
      <c r="F46">
        <f>'Case Study II'!G55</f>
        <v/>
      </c>
      <c r="G46">
        <f>INDEX('Case Study II'!I11:L18, MATCH(B46, INDEX('Case Study II'!I11:L18,,1), 0), 2)</f>
        <v/>
      </c>
      <c r="H46">
        <f>INDEX('Case Study II'!I11:L18, MATCH(B46, INDEX('Case Study II'!I11:L18,,1), 0), 3)</f>
        <v/>
      </c>
      <c r="I46">
        <f>INDEX('Case Study II'!I11:L18, MATCH(B46, INDEX('Case Study II'!I11:L18,,1), 0), 4)</f>
        <v/>
      </c>
      <c r="J46" s="59">
        <f>C46*E46*I46</f>
        <v/>
      </c>
      <c r="K46" s="60">
        <f>J46*H46</f>
        <v/>
      </c>
      <c r="L46">
        <f>IF(D46='Interview',1,0)</f>
        <v/>
      </c>
      <c r="M46">
        <f>IF(O46&gt;F46,'Delayed','On time')</f>
        <v/>
      </c>
      <c r="N46" s="61">
        <f>IF(O46&gt;F46,O46-F46,0)</f>
        <v/>
      </c>
      <c r="O46">
        <f>DATE(2025,3,25)</f>
        <v/>
      </c>
    </row>
    <row r="47">
      <c r="A47">
        <f>'Case Study II'!B56</f>
        <v/>
      </c>
      <c r="B47">
        <f>'Case Study II'!I56</f>
        <v/>
      </c>
      <c r="C47">
        <f>'Case Study II'!D56</f>
        <v/>
      </c>
      <c r="D47">
        <f>'Case Study II'!E56</f>
        <v/>
      </c>
      <c r="E47">
        <f>'Case Study II'!F56</f>
        <v/>
      </c>
      <c r="F47">
        <f>'Case Study II'!G56</f>
        <v/>
      </c>
      <c r="G47">
        <f>INDEX('Case Study II'!I11:L18, MATCH(B47, INDEX('Case Study II'!I11:L18,,1), 0), 2)</f>
        <v/>
      </c>
      <c r="H47">
        <f>INDEX('Case Study II'!I11:L18, MATCH(B47, INDEX('Case Study II'!I11:L18,,1), 0), 3)</f>
        <v/>
      </c>
      <c r="I47">
        <f>INDEX('Case Study II'!I11:L18, MATCH(B47, INDEX('Case Study II'!I11:L18,,1), 0), 4)</f>
        <v/>
      </c>
      <c r="J47" s="59">
        <f>C47*E47*I47</f>
        <v/>
      </c>
      <c r="K47" s="60">
        <f>J47*H47</f>
        <v/>
      </c>
      <c r="L47">
        <f>IF(D47='Interview',1,0)</f>
        <v/>
      </c>
      <c r="M47">
        <f>IF(O47&gt;F47,'Delayed','On time')</f>
        <v/>
      </c>
      <c r="N47" s="61">
        <f>IF(O47&gt;F47,O47-F47,0)</f>
        <v/>
      </c>
      <c r="O47">
        <f>DATE(2025,3,25)</f>
        <v/>
      </c>
    </row>
    <row r="48">
      <c r="A48">
        <f>'Case Study II'!B57</f>
        <v/>
      </c>
      <c r="B48">
        <f>'Case Study II'!I57</f>
        <v/>
      </c>
      <c r="C48">
        <f>'Case Study II'!D57</f>
        <v/>
      </c>
      <c r="D48">
        <f>'Case Study II'!E57</f>
        <v/>
      </c>
      <c r="E48">
        <f>'Case Study II'!F57</f>
        <v/>
      </c>
      <c r="F48">
        <f>'Case Study II'!G57</f>
        <v/>
      </c>
      <c r="G48">
        <f>INDEX('Case Study II'!I11:L18, MATCH(B48, INDEX('Case Study II'!I11:L18,,1), 0), 2)</f>
        <v/>
      </c>
      <c r="H48">
        <f>INDEX('Case Study II'!I11:L18, MATCH(B48, INDEX('Case Study II'!I11:L18,,1), 0), 3)</f>
        <v/>
      </c>
      <c r="I48">
        <f>INDEX('Case Study II'!I11:L18, MATCH(B48, INDEX('Case Study II'!I11:L18,,1), 0), 4)</f>
        <v/>
      </c>
      <c r="J48" s="59">
        <f>C48*E48*I48</f>
        <v/>
      </c>
      <c r="K48" s="60">
        <f>J48*H48</f>
        <v/>
      </c>
      <c r="L48">
        <f>IF(D48='Interview',1,0)</f>
        <v/>
      </c>
      <c r="M48">
        <f>IF(O48&gt;F48,'Delayed','On time')</f>
        <v/>
      </c>
      <c r="N48" s="61">
        <f>IF(O48&gt;F48,O48-F48,0)</f>
        <v/>
      </c>
      <c r="O48">
        <f>DATE(2025,3,25)</f>
        <v/>
      </c>
    </row>
    <row r="49">
      <c r="A49">
        <f>'Case Study II'!B58</f>
        <v/>
      </c>
      <c r="B49">
        <f>'Case Study II'!I58</f>
        <v/>
      </c>
      <c r="C49">
        <f>'Case Study II'!D58</f>
        <v/>
      </c>
      <c r="D49">
        <f>'Case Study II'!E58</f>
        <v/>
      </c>
      <c r="E49">
        <f>'Case Study II'!F58</f>
        <v/>
      </c>
      <c r="F49">
        <f>'Case Study II'!G58</f>
        <v/>
      </c>
      <c r="G49">
        <f>INDEX('Case Study II'!I11:L18, MATCH(B49, INDEX('Case Study II'!I11:L18,,1), 0), 2)</f>
        <v/>
      </c>
      <c r="H49">
        <f>INDEX('Case Study II'!I11:L18, MATCH(B49, INDEX('Case Study II'!I11:L18,,1), 0), 3)</f>
        <v/>
      </c>
      <c r="I49">
        <f>INDEX('Case Study II'!I11:L18, MATCH(B49, INDEX('Case Study II'!I11:L18,,1), 0), 4)</f>
        <v/>
      </c>
      <c r="J49" s="59">
        <f>C49*E49*I49</f>
        <v/>
      </c>
      <c r="K49" s="60">
        <f>J49*H49</f>
        <v/>
      </c>
      <c r="L49">
        <f>IF(D49='Interview',1,0)</f>
        <v/>
      </c>
      <c r="M49">
        <f>IF(O49&gt;F49,'Delayed','On time')</f>
        <v/>
      </c>
      <c r="N49" s="61">
        <f>IF(O49&gt;F49,O49-F49,0)</f>
        <v/>
      </c>
      <c r="O49">
        <f>DATE(2025,3,25)</f>
        <v/>
      </c>
    </row>
    <row r="50">
      <c r="A50">
        <f>'Case Study II'!B59</f>
        <v/>
      </c>
      <c r="B50">
        <f>'Case Study II'!I59</f>
        <v/>
      </c>
      <c r="C50">
        <f>'Case Study II'!D59</f>
        <v/>
      </c>
      <c r="D50">
        <f>'Case Study II'!E59</f>
        <v/>
      </c>
      <c r="E50">
        <f>'Case Study II'!F59</f>
        <v/>
      </c>
      <c r="F50">
        <f>'Case Study II'!G59</f>
        <v/>
      </c>
      <c r="G50">
        <f>INDEX('Case Study II'!I11:L18, MATCH(B50, INDEX('Case Study II'!I11:L18,,1), 0), 2)</f>
        <v/>
      </c>
      <c r="H50">
        <f>INDEX('Case Study II'!I11:L18, MATCH(B50, INDEX('Case Study II'!I11:L18,,1), 0), 3)</f>
        <v/>
      </c>
      <c r="I50">
        <f>INDEX('Case Study II'!I11:L18, MATCH(B50, INDEX('Case Study II'!I11:L18,,1), 0), 4)</f>
        <v/>
      </c>
      <c r="J50" s="59">
        <f>C50*E50*I50</f>
        <v/>
      </c>
      <c r="K50" s="60">
        <f>J50*H50</f>
        <v/>
      </c>
      <c r="L50">
        <f>IF(D50='Interview',1,0)</f>
        <v/>
      </c>
      <c r="M50">
        <f>IF(O50&gt;F50,'Delayed','On time')</f>
        <v/>
      </c>
      <c r="N50" s="61">
        <f>IF(O50&gt;F50,O50-F50,0)</f>
        <v/>
      </c>
      <c r="O50">
        <f>DATE(2025,3,25)</f>
        <v/>
      </c>
    </row>
    <row r="51">
      <c r="A51">
        <f>'Case Study II'!B60</f>
        <v/>
      </c>
      <c r="B51">
        <f>'Case Study II'!I60</f>
        <v/>
      </c>
      <c r="C51">
        <f>'Case Study II'!D60</f>
        <v/>
      </c>
      <c r="D51">
        <f>'Case Study II'!E60</f>
        <v/>
      </c>
      <c r="E51">
        <f>'Case Study II'!F60</f>
        <v/>
      </c>
      <c r="F51">
        <f>'Case Study II'!G60</f>
        <v/>
      </c>
      <c r="G51">
        <f>INDEX('Case Study II'!I11:L18, MATCH(B51, INDEX('Case Study II'!I11:L18,,1), 0), 2)</f>
        <v/>
      </c>
      <c r="H51">
        <f>INDEX('Case Study II'!I11:L18, MATCH(B51, INDEX('Case Study II'!I11:L18,,1), 0), 3)</f>
        <v/>
      </c>
      <c r="I51">
        <f>INDEX('Case Study II'!I11:L18, MATCH(B51, INDEX('Case Study II'!I11:L18,,1), 0), 4)</f>
        <v/>
      </c>
      <c r="J51" s="59">
        <f>C51*E51*I51</f>
        <v/>
      </c>
      <c r="K51" s="60">
        <f>J51*H51</f>
        <v/>
      </c>
      <c r="L51">
        <f>IF(D51='Interview',1,0)</f>
        <v/>
      </c>
      <c r="M51">
        <f>IF(O51&gt;F51,'Delayed','On time')</f>
        <v/>
      </c>
      <c r="N51" s="61">
        <f>IF(O51&gt;F51,O51-F51,0)</f>
        <v/>
      </c>
      <c r="O51">
        <f>DATE(2025,3,25)</f>
        <v/>
      </c>
    </row>
    <row r="52">
      <c r="A52">
        <f>'Case Study II'!B61</f>
        <v/>
      </c>
      <c r="B52">
        <f>'Case Study II'!I61</f>
        <v/>
      </c>
      <c r="C52">
        <f>'Case Study II'!D61</f>
        <v/>
      </c>
      <c r="D52">
        <f>'Case Study II'!E61</f>
        <v/>
      </c>
      <c r="E52">
        <f>'Case Study II'!F61</f>
        <v/>
      </c>
      <c r="F52">
        <f>'Case Study II'!G61</f>
        <v/>
      </c>
      <c r="G52">
        <f>INDEX('Case Study II'!I11:L18, MATCH(B52, INDEX('Case Study II'!I11:L18,,1), 0), 2)</f>
        <v/>
      </c>
      <c r="H52">
        <f>INDEX('Case Study II'!I11:L18, MATCH(B52, INDEX('Case Study II'!I11:L18,,1), 0), 3)</f>
        <v/>
      </c>
      <c r="I52">
        <f>INDEX('Case Study II'!I11:L18, MATCH(B52, INDEX('Case Study II'!I11:L18,,1), 0), 4)</f>
        <v/>
      </c>
      <c r="J52" s="59">
        <f>C52*E52*I52</f>
        <v/>
      </c>
      <c r="K52" s="60">
        <f>J52*H52</f>
        <v/>
      </c>
      <c r="L52">
        <f>IF(D52='Interview',1,0)</f>
        <v/>
      </c>
      <c r="M52">
        <f>IF(O52&gt;F52,'Delayed','On time')</f>
        <v/>
      </c>
      <c r="N52" s="61">
        <f>IF(O52&gt;F52,O52-F52,0)</f>
        <v/>
      </c>
      <c r="O52">
        <f>DATE(2025,3,25)</f>
        <v/>
      </c>
    </row>
    <row r="53">
      <c r="A53">
        <f>'Case Study II'!B62</f>
        <v/>
      </c>
      <c r="B53">
        <f>'Case Study II'!I62</f>
        <v/>
      </c>
      <c r="C53">
        <f>'Case Study II'!D62</f>
        <v/>
      </c>
      <c r="D53">
        <f>'Case Study II'!E62</f>
        <v/>
      </c>
      <c r="E53">
        <f>'Case Study II'!F62</f>
        <v/>
      </c>
      <c r="F53">
        <f>'Case Study II'!G62</f>
        <v/>
      </c>
      <c r="G53">
        <f>INDEX('Case Study II'!I11:L18, MATCH(B53, INDEX('Case Study II'!I11:L18,,1), 0), 2)</f>
        <v/>
      </c>
      <c r="H53">
        <f>INDEX('Case Study II'!I11:L18, MATCH(B53, INDEX('Case Study II'!I11:L18,,1), 0), 3)</f>
        <v/>
      </c>
      <c r="I53">
        <f>INDEX('Case Study II'!I11:L18, MATCH(B53, INDEX('Case Study II'!I11:L18,,1), 0), 4)</f>
        <v/>
      </c>
      <c r="J53" s="59">
        <f>C53*E53*I53</f>
        <v/>
      </c>
      <c r="K53" s="60">
        <f>J53*H53</f>
        <v/>
      </c>
      <c r="L53">
        <f>IF(D53='Interview',1,0)</f>
        <v/>
      </c>
      <c r="M53">
        <f>IF(O53&gt;F53,'Delayed','On time')</f>
        <v/>
      </c>
      <c r="N53" s="61">
        <f>IF(O53&gt;F53,O53-F53,0)</f>
        <v/>
      </c>
      <c r="O53">
        <f>DATE(2025,3,25)</f>
        <v/>
      </c>
    </row>
    <row r="54">
      <c r="A54">
        <f>'Case Study II'!B63</f>
        <v/>
      </c>
      <c r="B54">
        <f>'Case Study II'!I63</f>
        <v/>
      </c>
      <c r="C54">
        <f>'Case Study II'!D63</f>
        <v/>
      </c>
      <c r="D54">
        <f>'Case Study II'!E63</f>
        <v/>
      </c>
      <c r="E54">
        <f>'Case Study II'!F63</f>
        <v/>
      </c>
      <c r="F54">
        <f>'Case Study II'!G63</f>
        <v/>
      </c>
      <c r="G54">
        <f>INDEX('Case Study II'!I11:L18, MATCH(B54, INDEX('Case Study II'!I11:L18,,1), 0), 2)</f>
        <v/>
      </c>
      <c r="H54">
        <f>INDEX('Case Study II'!I11:L18, MATCH(B54, INDEX('Case Study II'!I11:L18,,1), 0), 3)</f>
        <v/>
      </c>
      <c r="I54">
        <f>INDEX('Case Study II'!I11:L18, MATCH(B54, INDEX('Case Study II'!I11:L18,,1), 0), 4)</f>
        <v/>
      </c>
      <c r="J54" s="59">
        <f>C54*E54*I54</f>
        <v/>
      </c>
      <c r="K54" s="60">
        <f>J54*H54</f>
        <v/>
      </c>
      <c r="L54">
        <f>IF(D54='Interview',1,0)</f>
        <v/>
      </c>
      <c r="M54">
        <f>IF(O54&gt;F54,'Delayed','On time')</f>
        <v/>
      </c>
      <c r="N54" s="61">
        <f>IF(O54&gt;F54,O54-F54,0)</f>
        <v/>
      </c>
      <c r="O54">
        <f>DATE(2025,3,25)</f>
        <v/>
      </c>
    </row>
    <row r="55">
      <c r="A55">
        <f>'Case Study II'!B64</f>
        <v/>
      </c>
      <c r="B55">
        <f>'Case Study II'!I64</f>
        <v/>
      </c>
      <c r="C55">
        <f>'Case Study II'!D64</f>
        <v/>
      </c>
      <c r="D55">
        <f>'Case Study II'!E64</f>
        <v/>
      </c>
      <c r="E55">
        <f>'Case Study II'!F64</f>
        <v/>
      </c>
      <c r="F55">
        <f>'Case Study II'!G64</f>
        <v/>
      </c>
      <c r="G55">
        <f>INDEX('Case Study II'!I11:L18, MATCH(B55, INDEX('Case Study II'!I11:L18,,1), 0), 2)</f>
        <v/>
      </c>
      <c r="H55">
        <f>INDEX('Case Study II'!I11:L18, MATCH(B55, INDEX('Case Study II'!I11:L18,,1), 0), 3)</f>
        <v/>
      </c>
      <c r="I55">
        <f>INDEX('Case Study II'!I11:L18, MATCH(B55, INDEX('Case Study II'!I11:L18,,1), 0), 4)</f>
        <v/>
      </c>
      <c r="J55" s="59">
        <f>C55*E55*I55</f>
        <v/>
      </c>
      <c r="K55" s="60">
        <f>J55*H55</f>
        <v/>
      </c>
      <c r="L55">
        <f>IF(D55='Interview',1,0)</f>
        <v/>
      </c>
      <c r="M55">
        <f>IF(O55&gt;F55,'Delayed','On time')</f>
        <v/>
      </c>
      <c r="N55" s="61">
        <f>IF(O55&gt;F55,O55-F55,0)</f>
        <v/>
      </c>
      <c r="O55">
        <f>DATE(2025,3,25)</f>
        <v/>
      </c>
    </row>
    <row r="56">
      <c r="A56">
        <f>'Case Study II'!B65</f>
        <v/>
      </c>
      <c r="B56">
        <f>'Case Study II'!I65</f>
        <v/>
      </c>
      <c r="C56">
        <f>'Case Study II'!D65</f>
        <v/>
      </c>
      <c r="D56">
        <f>'Case Study II'!E65</f>
        <v/>
      </c>
      <c r="E56">
        <f>'Case Study II'!F65</f>
        <v/>
      </c>
      <c r="F56">
        <f>'Case Study II'!G65</f>
        <v/>
      </c>
      <c r="G56">
        <f>INDEX('Case Study II'!I11:L18, MATCH(B56, INDEX('Case Study II'!I11:L18,,1), 0), 2)</f>
        <v/>
      </c>
      <c r="H56">
        <f>INDEX('Case Study II'!I11:L18, MATCH(B56, INDEX('Case Study II'!I11:L18,,1), 0), 3)</f>
        <v/>
      </c>
      <c r="I56">
        <f>INDEX('Case Study II'!I11:L18, MATCH(B56, INDEX('Case Study II'!I11:L18,,1), 0), 4)</f>
        <v/>
      </c>
      <c r="J56" s="59">
        <f>C56*E56*I56</f>
        <v/>
      </c>
      <c r="K56" s="60">
        <f>J56*H56</f>
        <v/>
      </c>
      <c r="L56">
        <f>IF(D56='Interview',1,0)</f>
        <v/>
      </c>
      <c r="M56">
        <f>IF(O56&gt;F56,'Delayed','On time')</f>
        <v/>
      </c>
      <c r="N56" s="61">
        <f>IF(O56&gt;F56,O56-F56,0)</f>
        <v/>
      </c>
      <c r="O56">
        <f>DATE(2025,3,25)</f>
        <v/>
      </c>
    </row>
    <row r="57">
      <c r="A57">
        <f>'Case Study II'!B66</f>
        <v/>
      </c>
      <c r="B57">
        <f>'Case Study II'!I66</f>
        <v/>
      </c>
      <c r="C57">
        <f>'Case Study II'!D66</f>
        <v/>
      </c>
      <c r="D57">
        <f>'Case Study II'!E66</f>
        <v/>
      </c>
      <c r="E57">
        <f>'Case Study II'!F66</f>
        <v/>
      </c>
      <c r="F57">
        <f>'Case Study II'!G66</f>
        <v/>
      </c>
      <c r="G57">
        <f>INDEX('Case Study II'!I11:L18, MATCH(B57, INDEX('Case Study II'!I11:L18,,1), 0), 2)</f>
        <v/>
      </c>
      <c r="H57">
        <f>INDEX('Case Study II'!I11:L18, MATCH(B57, INDEX('Case Study II'!I11:L18,,1), 0), 3)</f>
        <v/>
      </c>
      <c r="I57">
        <f>INDEX('Case Study II'!I11:L18, MATCH(B57, INDEX('Case Study II'!I11:L18,,1), 0), 4)</f>
        <v/>
      </c>
      <c r="J57" s="59">
        <f>C57*E57*I57</f>
        <v/>
      </c>
      <c r="K57" s="60">
        <f>J57*H57</f>
        <v/>
      </c>
      <c r="L57">
        <f>IF(D57='Interview',1,0)</f>
        <v/>
      </c>
      <c r="M57">
        <f>IF(O57&gt;F57,'Delayed','On time')</f>
        <v/>
      </c>
      <c r="N57" s="61">
        <f>IF(O57&gt;F57,O57-F57,0)</f>
        <v/>
      </c>
      <c r="O57">
        <f>DATE(2025,3,25)</f>
        <v/>
      </c>
    </row>
    <row r="58">
      <c r="A58">
        <f>'Case Study II'!B67</f>
        <v/>
      </c>
      <c r="B58">
        <f>'Case Study II'!I67</f>
        <v/>
      </c>
      <c r="C58">
        <f>'Case Study II'!D67</f>
        <v/>
      </c>
      <c r="D58">
        <f>'Case Study II'!E67</f>
        <v/>
      </c>
      <c r="E58">
        <f>'Case Study II'!F67</f>
        <v/>
      </c>
      <c r="F58">
        <f>'Case Study II'!G67</f>
        <v/>
      </c>
      <c r="G58">
        <f>INDEX('Case Study II'!I11:L18, MATCH(B58, INDEX('Case Study II'!I11:L18,,1), 0), 2)</f>
        <v/>
      </c>
      <c r="H58">
        <f>INDEX('Case Study II'!I11:L18, MATCH(B58, INDEX('Case Study II'!I11:L18,,1), 0), 3)</f>
        <v/>
      </c>
      <c r="I58">
        <f>INDEX('Case Study II'!I11:L18, MATCH(B58, INDEX('Case Study II'!I11:L18,,1), 0), 4)</f>
        <v/>
      </c>
      <c r="J58" s="59">
        <f>C58*E58*I58</f>
        <v/>
      </c>
      <c r="K58" s="60">
        <f>J58*H58</f>
        <v/>
      </c>
      <c r="L58">
        <f>IF(D58='Interview',1,0)</f>
        <v/>
      </c>
      <c r="M58">
        <f>IF(O58&gt;F58,'Delayed','On time')</f>
        <v/>
      </c>
      <c r="N58" s="61">
        <f>IF(O58&gt;F58,O58-F58,0)</f>
        <v/>
      </c>
      <c r="O58">
        <f>DATE(2025,3,25)</f>
        <v/>
      </c>
    </row>
    <row r="59">
      <c r="A59">
        <f>'Case Study II'!B68</f>
        <v/>
      </c>
      <c r="B59">
        <f>'Case Study II'!I68</f>
        <v/>
      </c>
      <c r="C59">
        <f>'Case Study II'!D68</f>
        <v/>
      </c>
      <c r="D59">
        <f>'Case Study II'!E68</f>
        <v/>
      </c>
      <c r="E59">
        <f>'Case Study II'!F68</f>
        <v/>
      </c>
      <c r="F59">
        <f>'Case Study II'!G68</f>
        <v/>
      </c>
      <c r="G59">
        <f>INDEX('Case Study II'!I11:L18, MATCH(B59, INDEX('Case Study II'!I11:L18,,1), 0), 2)</f>
        <v/>
      </c>
      <c r="H59">
        <f>INDEX('Case Study II'!I11:L18, MATCH(B59, INDEX('Case Study II'!I11:L18,,1), 0), 3)</f>
        <v/>
      </c>
      <c r="I59">
        <f>INDEX('Case Study II'!I11:L18, MATCH(B59, INDEX('Case Study II'!I11:L18,,1), 0), 4)</f>
        <v/>
      </c>
      <c r="J59" s="59">
        <f>C59*E59*I59</f>
        <v/>
      </c>
      <c r="K59" s="60">
        <f>J59*H59</f>
        <v/>
      </c>
      <c r="L59">
        <f>IF(D59='Interview',1,0)</f>
        <v/>
      </c>
      <c r="M59">
        <f>IF(O59&gt;F59,'Delayed','On time')</f>
        <v/>
      </c>
      <c r="N59" s="61">
        <f>IF(O59&gt;F59,O59-F59,0)</f>
        <v/>
      </c>
      <c r="O59">
        <f>DATE(2025,3,25)</f>
        <v/>
      </c>
    </row>
    <row r="60">
      <c r="A60">
        <f>'Case Study II'!B69</f>
        <v/>
      </c>
      <c r="B60">
        <f>'Case Study II'!I69</f>
        <v/>
      </c>
      <c r="C60">
        <f>'Case Study II'!D69</f>
        <v/>
      </c>
      <c r="D60">
        <f>'Case Study II'!E69</f>
        <v/>
      </c>
      <c r="E60">
        <f>'Case Study II'!F69</f>
        <v/>
      </c>
      <c r="F60">
        <f>'Case Study II'!G69</f>
        <v/>
      </c>
      <c r="G60">
        <f>INDEX('Case Study II'!I11:L18, MATCH(B60, INDEX('Case Study II'!I11:L18,,1), 0), 2)</f>
        <v/>
      </c>
      <c r="H60">
        <f>INDEX('Case Study II'!I11:L18, MATCH(B60, INDEX('Case Study II'!I11:L18,,1), 0), 3)</f>
        <v/>
      </c>
      <c r="I60">
        <f>INDEX('Case Study II'!I11:L18, MATCH(B60, INDEX('Case Study II'!I11:L18,,1), 0), 4)</f>
        <v/>
      </c>
      <c r="J60" s="59">
        <f>C60*E60*I60</f>
        <v/>
      </c>
      <c r="K60" s="60">
        <f>J60*H60</f>
        <v/>
      </c>
      <c r="L60">
        <f>IF(D60='Interview',1,0)</f>
        <v/>
      </c>
      <c r="M60">
        <f>IF(O60&gt;F60,'Delayed','On time')</f>
        <v/>
      </c>
      <c r="N60" s="61">
        <f>IF(O60&gt;F60,O60-F60,0)</f>
        <v/>
      </c>
      <c r="O60">
        <f>DATE(2025,3,25)</f>
        <v/>
      </c>
    </row>
    <row r="61">
      <c r="A61">
        <f>'Case Study II'!B70</f>
        <v/>
      </c>
      <c r="B61">
        <f>'Case Study II'!I70</f>
        <v/>
      </c>
      <c r="C61">
        <f>'Case Study II'!D70</f>
        <v/>
      </c>
      <c r="D61">
        <f>'Case Study II'!E70</f>
        <v/>
      </c>
      <c r="E61">
        <f>'Case Study II'!F70</f>
        <v/>
      </c>
      <c r="F61">
        <f>'Case Study II'!G70</f>
        <v/>
      </c>
      <c r="G61">
        <f>INDEX('Case Study II'!I11:L18, MATCH(B61, INDEX('Case Study II'!I11:L18,,1), 0), 2)</f>
        <v/>
      </c>
      <c r="H61">
        <f>INDEX('Case Study II'!I11:L18, MATCH(B61, INDEX('Case Study II'!I11:L18,,1), 0), 3)</f>
        <v/>
      </c>
      <c r="I61">
        <f>INDEX('Case Study II'!I11:L18, MATCH(B61, INDEX('Case Study II'!I11:L18,,1), 0), 4)</f>
        <v/>
      </c>
      <c r="J61" s="59">
        <f>C61*E61*I61</f>
        <v/>
      </c>
      <c r="K61" s="60">
        <f>J61*H61</f>
        <v/>
      </c>
      <c r="L61">
        <f>IF(D61='Interview',1,0)</f>
        <v/>
      </c>
      <c r="M61">
        <f>IF(O61&gt;F61,'Delayed','On time')</f>
        <v/>
      </c>
      <c r="N61" s="61">
        <f>IF(O61&gt;F61,O61-F61,0)</f>
        <v/>
      </c>
      <c r="O61">
        <f>DATE(2025,3,25)</f>
        <v/>
      </c>
    </row>
    <row r="62">
      <c r="A62">
        <f>'Case Study II'!B71</f>
        <v/>
      </c>
      <c r="B62">
        <f>'Case Study II'!I71</f>
        <v/>
      </c>
      <c r="C62">
        <f>'Case Study II'!D71</f>
        <v/>
      </c>
      <c r="D62">
        <f>'Case Study II'!E71</f>
        <v/>
      </c>
      <c r="E62">
        <f>'Case Study II'!F71</f>
        <v/>
      </c>
      <c r="F62">
        <f>'Case Study II'!G71</f>
        <v/>
      </c>
      <c r="G62">
        <f>INDEX('Case Study II'!I11:L18, MATCH(B62, INDEX('Case Study II'!I11:L18,,1), 0), 2)</f>
        <v/>
      </c>
      <c r="H62">
        <f>INDEX('Case Study II'!I11:L18, MATCH(B62, INDEX('Case Study II'!I11:L18,,1), 0), 3)</f>
        <v/>
      </c>
      <c r="I62">
        <f>INDEX('Case Study II'!I11:L18, MATCH(B62, INDEX('Case Study II'!I11:L18,,1), 0), 4)</f>
        <v/>
      </c>
      <c r="J62" s="59">
        <f>C62*E62*I62</f>
        <v/>
      </c>
      <c r="K62" s="60">
        <f>J62*H62</f>
        <v/>
      </c>
      <c r="L62">
        <f>IF(D62='Interview',1,0)</f>
        <v/>
      </c>
      <c r="M62">
        <f>IF(O62&gt;F62,'Delayed','On time')</f>
        <v/>
      </c>
      <c r="N62" s="61">
        <f>IF(O62&gt;F62,O62-F62,0)</f>
        <v/>
      </c>
      <c r="O62">
        <f>DATE(2025,3,25)</f>
        <v/>
      </c>
    </row>
    <row r="63">
      <c r="A63">
        <f>'Case Study II'!B72</f>
        <v/>
      </c>
      <c r="B63">
        <f>'Case Study II'!I72</f>
        <v/>
      </c>
      <c r="C63">
        <f>'Case Study II'!D72</f>
        <v/>
      </c>
      <c r="D63">
        <f>'Case Study II'!E72</f>
        <v/>
      </c>
      <c r="E63">
        <f>'Case Study II'!F72</f>
        <v/>
      </c>
      <c r="F63">
        <f>'Case Study II'!G72</f>
        <v/>
      </c>
      <c r="G63">
        <f>INDEX('Case Study II'!I11:L18, MATCH(B63, INDEX('Case Study II'!I11:L18,,1), 0), 2)</f>
        <v/>
      </c>
      <c r="H63">
        <f>INDEX('Case Study II'!I11:L18, MATCH(B63, INDEX('Case Study II'!I11:L18,,1), 0), 3)</f>
        <v/>
      </c>
      <c r="I63">
        <f>INDEX('Case Study II'!I11:L18, MATCH(B63, INDEX('Case Study II'!I11:L18,,1), 0), 4)</f>
        <v/>
      </c>
      <c r="J63" s="59">
        <f>C63*E63*I63</f>
        <v/>
      </c>
      <c r="K63" s="60">
        <f>J63*H63</f>
        <v/>
      </c>
      <c r="L63">
        <f>IF(D63='Interview',1,0)</f>
        <v/>
      </c>
      <c r="M63">
        <f>IF(O63&gt;F63,'Delayed','On time')</f>
        <v/>
      </c>
      <c r="N63" s="61">
        <f>IF(O63&gt;F63,O63-F63,0)</f>
        <v/>
      </c>
      <c r="O63">
        <f>DATE(2025,3,25)</f>
        <v/>
      </c>
    </row>
    <row r="64">
      <c r="A64">
        <f>'Case Study II'!B73</f>
        <v/>
      </c>
      <c r="B64">
        <f>'Case Study II'!I73</f>
        <v/>
      </c>
      <c r="C64">
        <f>'Case Study II'!D73</f>
        <v/>
      </c>
      <c r="D64">
        <f>'Case Study II'!E73</f>
        <v/>
      </c>
      <c r="E64">
        <f>'Case Study II'!F73</f>
        <v/>
      </c>
      <c r="F64">
        <f>'Case Study II'!G73</f>
        <v/>
      </c>
      <c r="G64">
        <f>INDEX('Case Study II'!I11:L18, MATCH(B64, INDEX('Case Study II'!I11:L18,,1), 0), 2)</f>
        <v/>
      </c>
      <c r="H64">
        <f>INDEX('Case Study II'!I11:L18, MATCH(B64, INDEX('Case Study II'!I11:L18,,1), 0), 3)</f>
        <v/>
      </c>
      <c r="I64">
        <f>INDEX('Case Study II'!I11:L18, MATCH(B64, INDEX('Case Study II'!I11:L18,,1), 0), 4)</f>
        <v/>
      </c>
      <c r="J64" s="59">
        <f>C64*E64*I64</f>
        <v/>
      </c>
      <c r="K64" s="60">
        <f>J64*H64</f>
        <v/>
      </c>
      <c r="L64">
        <f>IF(D64='Interview',1,0)</f>
        <v/>
      </c>
      <c r="M64">
        <f>IF(O64&gt;F64,'Delayed','On time')</f>
        <v/>
      </c>
      <c r="N64" s="61">
        <f>IF(O64&gt;F64,O64-F64,0)</f>
        <v/>
      </c>
      <c r="O64">
        <f>DATE(2025,3,25)</f>
        <v/>
      </c>
    </row>
    <row r="65">
      <c r="A65">
        <f>'Case Study II'!B74</f>
        <v/>
      </c>
      <c r="B65">
        <f>'Case Study II'!I74</f>
        <v/>
      </c>
      <c r="C65">
        <f>'Case Study II'!D74</f>
        <v/>
      </c>
      <c r="D65">
        <f>'Case Study II'!E74</f>
        <v/>
      </c>
      <c r="E65">
        <f>'Case Study II'!F74</f>
        <v/>
      </c>
      <c r="F65">
        <f>'Case Study II'!G74</f>
        <v/>
      </c>
      <c r="G65">
        <f>INDEX('Case Study II'!I11:L18, MATCH(B65, INDEX('Case Study II'!I11:L18,,1), 0), 2)</f>
        <v/>
      </c>
      <c r="H65">
        <f>INDEX('Case Study II'!I11:L18, MATCH(B65, INDEX('Case Study II'!I11:L18,,1), 0), 3)</f>
        <v/>
      </c>
      <c r="I65">
        <f>INDEX('Case Study II'!I11:L18, MATCH(B65, INDEX('Case Study II'!I11:L18,,1), 0), 4)</f>
        <v/>
      </c>
      <c r="J65" s="59">
        <f>C65*E65*I65</f>
        <v/>
      </c>
      <c r="K65" s="60">
        <f>J65*H65</f>
        <v/>
      </c>
      <c r="L65">
        <f>IF(D65='Interview',1,0)</f>
        <v/>
      </c>
      <c r="M65">
        <f>IF(O65&gt;F65,'Delayed','On time')</f>
        <v/>
      </c>
      <c r="N65" s="61">
        <f>IF(O65&gt;F65,O65-F65,0)</f>
        <v/>
      </c>
      <c r="O65">
        <f>DATE(2025,3,25)</f>
        <v/>
      </c>
    </row>
    <row r="66">
      <c r="A66">
        <f>'Case Study II'!B75</f>
        <v/>
      </c>
      <c r="B66">
        <f>'Case Study II'!I75</f>
        <v/>
      </c>
      <c r="C66">
        <f>'Case Study II'!D75</f>
        <v/>
      </c>
      <c r="D66">
        <f>'Case Study II'!E75</f>
        <v/>
      </c>
      <c r="E66">
        <f>'Case Study II'!F75</f>
        <v/>
      </c>
      <c r="F66">
        <f>'Case Study II'!G75</f>
        <v/>
      </c>
      <c r="G66">
        <f>INDEX('Case Study II'!I11:L18, MATCH(B66, INDEX('Case Study II'!I11:L18,,1), 0), 2)</f>
        <v/>
      </c>
      <c r="H66">
        <f>INDEX('Case Study II'!I11:L18, MATCH(B66, INDEX('Case Study II'!I11:L18,,1), 0), 3)</f>
        <v/>
      </c>
      <c r="I66">
        <f>INDEX('Case Study II'!I11:L18, MATCH(B66, INDEX('Case Study II'!I11:L18,,1), 0), 4)</f>
        <v/>
      </c>
      <c r="J66" s="59">
        <f>C66*E66*I66</f>
        <v/>
      </c>
      <c r="K66" s="60">
        <f>J66*H66</f>
        <v/>
      </c>
      <c r="L66">
        <f>IF(D66='Interview',1,0)</f>
        <v/>
      </c>
      <c r="M66">
        <f>IF(O66&gt;F66,'Delayed','On time')</f>
        <v/>
      </c>
      <c r="N66" s="61">
        <f>IF(O66&gt;F66,O66-F66,0)</f>
        <v/>
      </c>
      <c r="O66">
        <f>DATE(2025,3,25)</f>
        <v/>
      </c>
    </row>
    <row r="67">
      <c r="A67">
        <f>'Case Study II'!B76</f>
        <v/>
      </c>
      <c r="B67">
        <f>'Case Study II'!I76</f>
        <v/>
      </c>
      <c r="C67">
        <f>'Case Study II'!D76</f>
        <v/>
      </c>
      <c r="D67">
        <f>'Case Study II'!E76</f>
        <v/>
      </c>
      <c r="E67">
        <f>'Case Study II'!F76</f>
        <v/>
      </c>
      <c r="F67">
        <f>'Case Study II'!G76</f>
        <v/>
      </c>
      <c r="G67">
        <f>INDEX('Case Study II'!I11:L18, MATCH(B67, INDEX('Case Study II'!I11:L18,,1), 0), 2)</f>
        <v/>
      </c>
      <c r="H67">
        <f>INDEX('Case Study II'!I11:L18, MATCH(B67, INDEX('Case Study II'!I11:L18,,1), 0), 3)</f>
        <v/>
      </c>
      <c r="I67">
        <f>INDEX('Case Study II'!I11:L18, MATCH(B67, INDEX('Case Study II'!I11:L18,,1), 0), 4)</f>
        <v/>
      </c>
      <c r="J67" s="59">
        <f>C67*E67*I67</f>
        <v/>
      </c>
      <c r="K67" s="60">
        <f>J67*H67</f>
        <v/>
      </c>
      <c r="L67">
        <f>IF(D67='Interview',1,0)</f>
        <v/>
      </c>
      <c r="M67">
        <f>IF(O67&gt;F67,'Delayed','On time')</f>
        <v/>
      </c>
      <c r="N67" s="61">
        <f>IF(O67&gt;F67,O67-F67,0)</f>
        <v/>
      </c>
      <c r="O67">
        <f>DATE(2025,3,25)</f>
        <v/>
      </c>
    </row>
    <row r="68">
      <c r="A68">
        <f>'Case Study II'!B77</f>
        <v/>
      </c>
      <c r="B68">
        <f>'Case Study II'!I77</f>
        <v/>
      </c>
      <c r="C68">
        <f>'Case Study II'!D77</f>
        <v/>
      </c>
      <c r="D68">
        <f>'Case Study II'!E77</f>
        <v/>
      </c>
      <c r="E68">
        <f>'Case Study II'!F77</f>
        <v/>
      </c>
      <c r="F68">
        <f>'Case Study II'!G77</f>
        <v/>
      </c>
      <c r="G68">
        <f>INDEX('Case Study II'!I11:L18, MATCH(B68, INDEX('Case Study II'!I11:L18,,1), 0), 2)</f>
        <v/>
      </c>
      <c r="H68">
        <f>INDEX('Case Study II'!I11:L18, MATCH(B68, INDEX('Case Study II'!I11:L18,,1), 0), 3)</f>
        <v/>
      </c>
      <c r="I68">
        <f>INDEX('Case Study II'!I11:L18, MATCH(B68, INDEX('Case Study II'!I11:L18,,1), 0), 4)</f>
        <v/>
      </c>
      <c r="J68" s="59">
        <f>C68*E68*I68</f>
        <v/>
      </c>
      <c r="K68" s="60">
        <f>J68*H68</f>
        <v/>
      </c>
      <c r="L68">
        <f>IF(D68='Interview',1,0)</f>
        <v/>
      </c>
      <c r="M68">
        <f>IF(O68&gt;F68,'Delayed','On time')</f>
        <v/>
      </c>
      <c r="N68" s="61">
        <f>IF(O68&gt;F68,O68-F68,0)</f>
        <v/>
      </c>
      <c r="O68">
        <f>DATE(2025,3,25)</f>
        <v/>
      </c>
    </row>
    <row r="69">
      <c r="A69">
        <f>'Case Study II'!B78</f>
        <v/>
      </c>
      <c r="B69">
        <f>'Case Study II'!I78</f>
        <v/>
      </c>
      <c r="C69">
        <f>'Case Study II'!D78</f>
        <v/>
      </c>
      <c r="D69">
        <f>'Case Study II'!E78</f>
        <v/>
      </c>
      <c r="E69">
        <f>'Case Study II'!F78</f>
        <v/>
      </c>
      <c r="F69">
        <f>'Case Study II'!G78</f>
        <v/>
      </c>
      <c r="G69">
        <f>INDEX('Case Study II'!I11:L18, MATCH(B69, INDEX('Case Study II'!I11:L18,,1), 0), 2)</f>
        <v/>
      </c>
      <c r="H69">
        <f>INDEX('Case Study II'!I11:L18, MATCH(B69, INDEX('Case Study II'!I11:L18,,1), 0), 3)</f>
        <v/>
      </c>
      <c r="I69">
        <f>INDEX('Case Study II'!I11:L18, MATCH(B69, INDEX('Case Study II'!I11:L18,,1), 0), 4)</f>
        <v/>
      </c>
      <c r="J69" s="59">
        <f>C69*E69*I69</f>
        <v/>
      </c>
      <c r="K69" s="60">
        <f>J69*H69</f>
        <v/>
      </c>
      <c r="L69">
        <f>IF(D69='Interview',1,0)</f>
        <v/>
      </c>
      <c r="M69">
        <f>IF(O69&gt;F69,'Delayed','On time')</f>
        <v/>
      </c>
      <c r="N69" s="61">
        <f>IF(O69&gt;F69,O69-F69,0)</f>
        <v/>
      </c>
      <c r="O69">
        <f>DATE(2025,3,25)</f>
        <v/>
      </c>
    </row>
    <row r="70">
      <c r="A70">
        <f>'Case Study II'!B79</f>
        <v/>
      </c>
      <c r="B70">
        <f>'Case Study II'!I79</f>
        <v/>
      </c>
      <c r="C70">
        <f>'Case Study II'!D79</f>
        <v/>
      </c>
      <c r="D70">
        <f>'Case Study II'!E79</f>
        <v/>
      </c>
      <c r="E70">
        <f>'Case Study II'!F79</f>
        <v/>
      </c>
      <c r="F70">
        <f>'Case Study II'!G79</f>
        <v/>
      </c>
      <c r="G70">
        <f>INDEX('Case Study II'!I11:L18, MATCH(B70, INDEX('Case Study II'!I11:L18,,1), 0), 2)</f>
        <v/>
      </c>
      <c r="H70">
        <f>INDEX('Case Study II'!I11:L18, MATCH(B70, INDEX('Case Study II'!I11:L18,,1), 0), 3)</f>
        <v/>
      </c>
      <c r="I70">
        <f>INDEX('Case Study II'!I11:L18, MATCH(B70, INDEX('Case Study II'!I11:L18,,1), 0), 4)</f>
        <v/>
      </c>
      <c r="J70" s="59">
        <f>C70*E70*I70</f>
        <v/>
      </c>
      <c r="K70" s="60">
        <f>J70*H70</f>
        <v/>
      </c>
      <c r="L70">
        <f>IF(D70='Interview',1,0)</f>
        <v/>
      </c>
      <c r="M70">
        <f>IF(O70&gt;F70,'Delayed','On time')</f>
        <v/>
      </c>
      <c r="N70" s="61">
        <f>IF(O70&gt;F70,O70-F70,0)</f>
        <v/>
      </c>
      <c r="O70">
        <f>DATE(2025,3,25)</f>
        <v/>
      </c>
    </row>
    <row r="71">
      <c r="A71">
        <f>'Case Study II'!B80</f>
        <v/>
      </c>
      <c r="B71">
        <f>'Case Study II'!I80</f>
        <v/>
      </c>
      <c r="C71">
        <f>'Case Study II'!D80</f>
        <v/>
      </c>
      <c r="D71">
        <f>'Case Study II'!E80</f>
        <v/>
      </c>
      <c r="E71">
        <f>'Case Study II'!F80</f>
        <v/>
      </c>
      <c r="F71">
        <f>'Case Study II'!G80</f>
        <v/>
      </c>
      <c r="G71">
        <f>INDEX('Case Study II'!I11:L18, MATCH(B71, INDEX('Case Study II'!I11:L18,,1), 0), 2)</f>
        <v/>
      </c>
      <c r="H71">
        <f>INDEX('Case Study II'!I11:L18, MATCH(B71, INDEX('Case Study II'!I11:L18,,1), 0), 3)</f>
        <v/>
      </c>
      <c r="I71">
        <f>INDEX('Case Study II'!I11:L18, MATCH(B71, INDEX('Case Study II'!I11:L18,,1), 0), 4)</f>
        <v/>
      </c>
      <c r="J71" s="59">
        <f>C71*E71*I71</f>
        <v/>
      </c>
      <c r="K71" s="60">
        <f>J71*H71</f>
        <v/>
      </c>
      <c r="L71">
        <f>IF(D71='Interview',1,0)</f>
        <v/>
      </c>
      <c r="M71">
        <f>IF(O71&gt;F71,'Delayed','On time')</f>
        <v/>
      </c>
      <c r="N71" s="61">
        <f>IF(O71&gt;F71,O71-F71,0)</f>
        <v/>
      </c>
      <c r="O71">
        <f>DATE(2025,3,25)</f>
        <v/>
      </c>
    </row>
    <row r="72">
      <c r="A72">
        <f>'Case Study II'!B81</f>
        <v/>
      </c>
      <c r="B72">
        <f>'Case Study II'!I81</f>
        <v/>
      </c>
      <c r="C72">
        <f>'Case Study II'!D81</f>
        <v/>
      </c>
      <c r="D72">
        <f>'Case Study II'!E81</f>
        <v/>
      </c>
      <c r="E72">
        <f>'Case Study II'!F81</f>
        <v/>
      </c>
      <c r="F72">
        <f>'Case Study II'!G81</f>
        <v/>
      </c>
      <c r="G72">
        <f>INDEX('Case Study II'!I11:L18, MATCH(B72, INDEX('Case Study II'!I11:L18,,1), 0), 2)</f>
        <v/>
      </c>
      <c r="H72">
        <f>INDEX('Case Study II'!I11:L18, MATCH(B72, INDEX('Case Study II'!I11:L18,,1), 0), 3)</f>
        <v/>
      </c>
      <c r="I72">
        <f>INDEX('Case Study II'!I11:L18, MATCH(B72, INDEX('Case Study II'!I11:L18,,1), 0), 4)</f>
        <v/>
      </c>
      <c r="J72" s="59">
        <f>C72*E72*I72</f>
        <v/>
      </c>
      <c r="K72" s="60">
        <f>J72*H72</f>
        <v/>
      </c>
      <c r="L72">
        <f>IF(D72='Interview',1,0)</f>
        <v/>
      </c>
      <c r="M72">
        <f>IF(O72&gt;F72,'Delayed','On time')</f>
        <v/>
      </c>
      <c r="N72" s="61">
        <f>IF(O72&gt;F72,O72-F72,0)</f>
        <v/>
      </c>
      <c r="O72">
        <f>DATE(2025,3,25)</f>
        <v/>
      </c>
    </row>
    <row r="73">
      <c r="A73">
        <f>'Case Study II'!B82</f>
        <v/>
      </c>
      <c r="B73">
        <f>'Case Study II'!I82</f>
        <v/>
      </c>
      <c r="C73">
        <f>'Case Study II'!D82</f>
        <v/>
      </c>
      <c r="D73">
        <f>'Case Study II'!E82</f>
        <v/>
      </c>
      <c r="E73">
        <f>'Case Study II'!F82</f>
        <v/>
      </c>
      <c r="F73">
        <f>'Case Study II'!G82</f>
        <v/>
      </c>
      <c r="G73">
        <f>INDEX('Case Study II'!I11:L18, MATCH(B73, INDEX('Case Study II'!I11:L18,,1), 0), 2)</f>
        <v/>
      </c>
      <c r="H73">
        <f>INDEX('Case Study II'!I11:L18, MATCH(B73, INDEX('Case Study II'!I11:L18,,1), 0), 3)</f>
        <v/>
      </c>
      <c r="I73">
        <f>INDEX('Case Study II'!I11:L18, MATCH(B73, INDEX('Case Study II'!I11:L18,,1), 0), 4)</f>
        <v/>
      </c>
      <c r="J73" s="59">
        <f>C73*E73*I73</f>
        <v/>
      </c>
      <c r="K73" s="60">
        <f>J73*H73</f>
        <v/>
      </c>
      <c r="L73">
        <f>IF(D73='Interview',1,0)</f>
        <v/>
      </c>
      <c r="M73">
        <f>IF(O73&gt;F73,'Delayed','On time')</f>
        <v/>
      </c>
      <c r="N73" s="61">
        <f>IF(O73&gt;F73,O73-F73,0)</f>
        <v/>
      </c>
      <c r="O73">
        <f>DATE(2025,3,25)</f>
        <v/>
      </c>
    </row>
    <row r="74">
      <c r="A74">
        <f>'Case Study II'!B83</f>
        <v/>
      </c>
      <c r="B74">
        <f>'Case Study II'!I83</f>
        <v/>
      </c>
      <c r="C74">
        <f>'Case Study II'!D83</f>
        <v/>
      </c>
      <c r="D74">
        <f>'Case Study II'!E83</f>
        <v/>
      </c>
      <c r="E74">
        <f>'Case Study II'!F83</f>
        <v/>
      </c>
      <c r="F74">
        <f>'Case Study II'!G83</f>
        <v/>
      </c>
      <c r="G74">
        <f>INDEX('Case Study II'!I11:L18, MATCH(B74, INDEX('Case Study II'!I11:L18,,1), 0), 2)</f>
        <v/>
      </c>
      <c r="H74">
        <f>INDEX('Case Study II'!I11:L18, MATCH(B74, INDEX('Case Study II'!I11:L18,,1), 0), 3)</f>
        <v/>
      </c>
      <c r="I74">
        <f>INDEX('Case Study II'!I11:L18, MATCH(B74, INDEX('Case Study II'!I11:L18,,1), 0), 4)</f>
        <v/>
      </c>
      <c r="J74" s="59">
        <f>C74*E74*I74</f>
        <v/>
      </c>
      <c r="K74" s="60">
        <f>J74*H74</f>
        <v/>
      </c>
      <c r="L74">
        <f>IF(D74='Interview',1,0)</f>
        <v/>
      </c>
      <c r="M74">
        <f>IF(O74&gt;F74,'Delayed','On time')</f>
        <v/>
      </c>
      <c r="N74" s="61">
        <f>IF(O74&gt;F74,O74-F74,0)</f>
        <v/>
      </c>
      <c r="O74">
        <f>DATE(2025,3,25)</f>
        <v/>
      </c>
    </row>
    <row r="75">
      <c r="A75">
        <f>'Case Study II'!B84</f>
        <v/>
      </c>
      <c r="B75">
        <f>'Case Study II'!I84</f>
        <v/>
      </c>
      <c r="C75">
        <f>'Case Study II'!D84</f>
        <v/>
      </c>
      <c r="D75">
        <f>'Case Study II'!E84</f>
        <v/>
      </c>
      <c r="E75">
        <f>'Case Study II'!F84</f>
        <v/>
      </c>
      <c r="F75">
        <f>'Case Study II'!G84</f>
        <v/>
      </c>
      <c r="G75">
        <f>INDEX('Case Study II'!I11:L18, MATCH(B75, INDEX('Case Study II'!I11:L18,,1), 0), 2)</f>
        <v/>
      </c>
      <c r="H75">
        <f>INDEX('Case Study II'!I11:L18, MATCH(B75, INDEX('Case Study II'!I11:L18,,1), 0), 3)</f>
        <v/>
      </c>
      <c r="I75">
        <f>INDEX('Case Study II'!I11:L18, MATCH(B75, INDEX('Case Study II'!I11:L18,,1), 0), 4)</f>
        <v/>
      </c>
      <c r="J75" s="59">
        <f>C75*E75*I75</f>
        <v/>
      </c>
      <c r="K75" s="60">
        <f>J75*H75</f>
        <v/>
      </c>
      <c r="L75">
        <f>IF(D75='Interview',1,0)</f>
        <v/>
      </c>
      <c r="M75">
        <f>IF(O75&gt;F75,'Delayed','On time')</f>
        <v/>
      </c>
      <c r="N75" s="61">
        <f>IF(O75&gt;F75,O75-F75,0)</f>
        <v/>
      </c>
      <c r="O75">
        <f>DATE(2025,3,25)</f>
        <v/>
      </c>
    </row>
    <row r="76">
      <c r="A76">
        <f>'Case Study II'!B85</f>
        <v/>
      </c>
      <c r="B76">
        <f>'Case Study II'!I85</f>
        <v/>
      </c>
      <c r="C76">
        <f>'Case Study II'!D85</f>
        <v/>
      </c>
      <c r="D76">
        <f>'Case Study II'!E85</f>
        <v/>
      </c>
      <c r="E76">
        <f>'Case Study II'!F85</f>
        <v/>
      </c>
      <c r="F76">
        <f>'Case Study II'!G85</f>
        <v/>
      </c>
      <c r="G76">
        <f>INDEX('Case Study II'!I11:L18, MATCH(B76, INDEX('Case Study II'!I11:L18,,1), 0), 2)</f>
        <v/>
      </c>
      <c r="H76">
        <f>INDEX('Case Study II'!I11:L18, MATCH(B76, INDEX('Case Study II'!I11:L18,,1), 0), 3)</f>
        <v/>
      </c>
      <c r="I76">
        <f>INDEX('Case Study II'!I11:L18, MATCH(B76, INDEX('Case Study II'!I11:L18,,1), 0), 4)</f>
        <v/>
      </c>
      <c r="J76" s="59">
        <f>C76*E76*I76</f>
        <v/>
      </c>
      <c r="K76" s="60">
        <f>J76*H76</f>
        <v/>
      </c>
      <c r="L76">
        <f>IF(D76='Interview',1,0)</f>
        <v/>
      </c>
      <c r="M76">
        <f>IF(O76&gt;F76,'Delayed','On time')</f>
        <v/>
      </c>
      <c r="N76" s="61">
        <f>IF(O76&gt;F76,O76-F76,0)</f>
        <v/>
      </c>
      <c r="O76">
        <f>DATE(2025,3,25)</f>
        <v/>
      </c>
    </row>
    <row r="77">
      <c r="A77">
        <f>'Case Study II'!B86</f>
        <v/>
      </c>
      <c r="B77">
        <f>'Case Study II'!I86</f>
        <v/>
      </c>
      <c r="C77">
        <f>'Case Study II'!D86</f>
        <v/>
      </c>
      <c r="D77">
        <f>'Case Study II'!E86</f>
        <v/>
      </c>
      <c r="E77">
        <f>'Case Study II'!F86</f>
        <v/>
      </c>
      <c r="F77">
        <f>'Case Study II'!G86</f>
        <v/>
      </c>
      <c r="G77">
        <f>INDEX('Case Study II'!I11:L18, MATCH(B77, INDEX('Case Study II'!I11:L18,,1), 0), 2)</f>
        <v/>
      </c>
      <c r="H77">
        <f>INDEX('Case Study II'!I11:L18, MATCH(B77, INDEX('Case Study II'!I11:L18,,1), 0), 3)</f>
        <v/>
      </c>
      <c r="I77">
        <f>INDEX('Case Study II'!I11:L18, MATCH(B77, INDEX('Case Study II'!I11:L18,,1), 0), 4)</f>
        <v/>
      </c>
      <c r="J77" s="59">
        <f>C77*E77*I77</f>
        <v/>
      </c>
      <c r="K77" s="60">
        <f>J77*H77</f>
        <v/>
      </c>
      <c r="L77">
        <f>IF(D77='Interview',1,0)</f>
        <v/>
      </c>
      <c r="M77">
        <f>IF(O77&gt;F77,'Delayed','On time')</f>
        <v/>
      </c>
      <c r="N77" s="61">
        <f>IF(O77&gt;F77,O77-F77,0)</f>
        <v/>
      </c>
      <c r="O77">
        <f>DATE(2025,3,25)</f>
        <v/>
      </c>
    </row>
    <row r="78">
      <c r="A78">
        <f>'Case Study II'!B87</f>
        <v/>
      </c>
      <c r="B78">
        <f>'Case Study II'!I87</f>
        <v/>
      </c>
      <c r="C78">
        <f>'Case Study II'!D87</f>
        <v/>
      </c>
      <c r="D78">
        <f>'Case Study II'!E87</f>
        <v/>
      </c>
      <c r="E78">
        <f>'Case Study II'!F87</f>
        <v/>
      </c>
      <c r="F78">
        <f>'Case Study II'!G87</f>
        <v/>
      </c>
      <c r="G78">
        <f>INDEX('Case Study II'!I11:L18, MATCH(B78, INDEX('Case Study II'!I11:L18,,1), 0), 2)</f>
        <v/>
      </c>
      <c r="H78">
        <f>INDEX('Case Study II'!I11:L18, MATCH(B78, INDEX('Case Study II'!I11:L18,,1), 0), 3)</f>
        <v/>
      </c>
      <c r="I78">
        <f>INDEX('Case Study II'!I11:L18, MATCH(B78, INDEX('Case Study II'!I11:L18,,1), 0), 4)</f>
        <v/>
      </c>
      <c r="J78" s="59">
        <f>C78*E78*I78</f>
        <v/>
      </c>
      <c r="K78" s="60">
        <f>J78*H78</f>
        <v/>
      </c>
      <c r="L78">
        <f>IF(D78='Interview',1,0)</f>
        <v/>
      </c>
      <c r="M78">
        <f>IF(O78&gt;F78,'Delayed','On time')</f>
        <v/>
      </c>
      <c r="N78" s="61">
        <f>IF(O78&gt;F78,O78-F78,0)</f>
        <v/>
      </c>
      <c r="O78">
        <f>DATE(2025,3,25)</f>
        <v/>
      </c>
    </row>
    <row r="79">
      <c r="A79">
        <f>'Case Study II'!B88</f>
        <v/>
      </c>
      <c r="B79">
        <f>'Case Study II'!I88</f>
        <v/>
      </c>
      <c r="C79">
        <f>'Case Study II'!D88</f>
        <v/>
      </c>
      <c r="D79">
        <f>'Case Study II'!E88</f>
        <v/>
      </c>
      <c r="E79">
        <f>'Case Study II'!F88</f>
        <v/>
      </c>
      <c r="F79">
        <f>'Case Study II'!G88</f>
        <v/>
      </c>
      <c r="G79">
        <f>INDEX('Case Study II'!I11:L18, MATCH(B79, INDEX('Case Study II'!I11:L18,,1), 0), 2)</f>
        <v/>
      </c>
      <c r="H79">
        <f>INDEX('Case Study II'!I11:L18, MATCH(B79, INDEX('Case Study II'!I11:L18,,1), 0), 3)</f>
        <v/>
      </c>
      <c r="I79">
        <f>INDEX('Case Study II'!I11:L18, MATCH(B79, INDEX('Case Study II'!I11:L18,,1), 0), 4)</f>
        <v/>
      </c>
      <c r="J79" s="59">
        <f>C79*E79*I79</f>
        <v/>
      </c>
      <c r="K79" s="60">
        <f>J79*H79</f>
        <v/>
      </c>
      <c r="L79">
        <f>IF(D79='Interview',1,0)</f>
        <v/>
      </c>
      <c r="M79">
        <f>IF(O79&gt;F79,'Delayed','On time')</f>
        <v/>
      </c>
      <c r="N79" s="61">
        <f>IF(O79&gt;F79,O79-F79,0)</f>
        <v/>
      </c>
      <c r="O79">
        <f>DATE(2025,3,25)</f>
        <v/>
      </c>
    </row>
    <row r="80">
      <c r="A80">
        <f>'Case Study II'!B89</f>
        <v/>
      </c>
      <c r="B80">
        <f>'Case Study II'!I89</f>
        <v/>
      </c>
      <c r="C80">
        <f>'Case Study II'!D89</f>
        <v/>
      </c>
      <c r="D80">
        <f>'Case Study II'!E89</f>
        <v/>
      </c>
      <c r="E80">
        <f>'Case Study II'!F89</f>
        <v/>
      </c>
      <c r="F80">
        <f>'Case Study II'!G89</f>
        <v/>
      </c>
      <c r="G80">
        <f>INDEX('Case Study II'!I11:L18, MATCH(B80, INDEX('Case Study II'!I11:L18,,1), 0), 2)</f>
        <v/>
      </c>
      <c r="H80">
        <f>INDEX('Case Study II'!I11:L18, MATCH(B80, INDEX('Case Study II'!I11:L18,,1), 0), 3)</f>
        <v/>
      </c>
      <c r="I80">
        <f>INDEX('Case Study II'!I11:L18, MATCH(B80, INDEX('Case Study II'!I11:L18,,1), 0), 4)</f>
        <v/>
      </c>
      <c r="J80" s="59">
        <f>C80*E80*I80</f>
        <v/>
      </c>
      <c r="K80" s="60">
        <f>J80*H80</f>
        <v/>
      </c>
      <c r="L80">
        <f>IF(D80='Interview',1,0)</f>
        <v/>
      </c>
      <c r="M80">
        <f>IF(O80&gt;F80,'Delayed','On time')</f>
        <v/>
      </c>
      <c r="N80" s="61">
        <f>IF(O80&gt;F80,O80-F80,0)</f>
        <v/>
      </c>
      <c r="O80">
        <f>DATE(2025,3,25)</f>
        <v/>
      </c>
    </row>
    <row r="81">
      <c r="A81">
        <f>'Case Study II'!B90</f>
        <v/>
      </c>
      <c r="B81">
        <f>'Case Study II'!I90</f>
        <v/>
      </c>
      <c r="C81">
        <f>'Case Study II'!D90</f>
        <v/>
      </c>
      <c r="D81">
        <f>'Case Study II'!E90</f>
        <v/>
      </c>
      <c r="E81">
        <f>'Case Study II'!F90</f>
        <v/>
      </c>
      <c r="F81">
        <f>'Case Study II'!G90</f>
        <v/>
      </c>
      <c r="G81">
        <f>INDEX('Case Study II'!I11:L18, MATCH(B81, INDEX('Case Study II'!I11:L18,,1), 0), 2)</f>
        <v/>
      </c>
      <c r="H81">
        <f>INDEX('Case Study II'!I11:L18, MATCH(B81, INDEX('Case Study II'!I11:L18,,1), 0), 3)</f>
        <v/>
      </c>
      <c r="I81">
        <f>INDEX('Case Study II'!I11:L18, MATCH(B81, INDEX('Case Study II'!I11:L18,,1), 0), 4)</f>
        <v/>
      </c>
      <c r="J81" s="59">
        <f>C81*E81*I81</f>
        <v/>
      </c>
      <c r="K81" s="60">
        <f>J81*H81</f>
        <v/>
      </c>
      <c r="L81">
        <f>IF(D81='Interview',1,0)</f>
        <v/>
      </c>
      <c r="M81">
        <f>IF(O81&gt;F81,'Delayed','On time')</f>
        <v/>
      </c>
      <c r="N81" s="61">
        <f>IF(O81&gt;F81,O81-F81,0)</f>
        <v/>
      </c>
      <c r="O81">
        <f>DATE(2025,3,25)</f>
        <v/>
      </c>
    </row>
    <row r="82">
      <c r="A82">
        <f>'Case Study II'!B91</f>
        <v/>
      </c>
      <c r="B82">
        <f>'Case Study II'!I91</f>
        <v/>
      </c>
      <c r="C82">
        <f>'Case Study II'!D91</f>
        <v/>
      </c>
      <c r="D82">
        <f>'Case Study II'!E91</f>
        <v/>
      </c>
      <c r="E82">
        <f>'Case Study II'!F91</f>
        <v/>
      </c>
      <c r="F82">
        <f>'Case Study II'!G91</f>
        <v/>
      </c>
      <c r="G82">
        <f>INDEX('Case Study II'!I11:L18, MATCH(B82, INDEX('Case Study II'!I11:L18,,1), 0), 2)</f>
        <v/>
      </c>
      <c r="H82">
        <f>INDEX('Case Study II'!I11:L18, MATCH(B82, INDEX('Case Study II'!I11:L18,,1), 0), 3)</f>
        <v/>
      </c>
      <c r="I82">
        <f>INDEX('Case Study II'!I11:L18, MATCH(B82, INDEX('Case Study II'!I11:L18,,1), 0), 4)</f>
        <v/>
      </c>
      <c r="J82" s="59">
        <f>C82*E82*I82</f>
        <v/>
      </c>
      <c r="K82" s="60">
        <f>J82*H82</f>
        <v/>
      </c>
      <c r="L82">
        <f>IF(D82='Interview',1,0)</f>
        <v/>
      </c>
      <c r="M82">
        <f>IF(O82&gt;F82,'Delayed','On time')</f>
        <v/>
      </c>
      <c r="N82" s="61">
        <f>IF(O82&gt;F82,O82-F82,0)</f>
        <v/>
      </c>
      <c r="O82">
        <f>DATE(2025,3,25)</f>
        <v/>
      </c>
    </row>
    <row r="83">
      <c r="A83">
        <f>'Case Study II'!B92</f>
        <v/>
      </c>
      <c r="B83">
        <f>'Case Study II'!I92</f>
        <v/>
      </c>
      <c r="C83">
        <f>'Case Study II'!D92</f>
        <v/>
      </c>
      <c r="D83">
        <f>'Case Study II'!E92</f>
        <v/>
      </c>
      <c r="E83">
        <f>'Case Study II'!F92</f>
        <v/>
      </c>
      <c r="F83">
        <f>'Case Study II'!G92</f>
        <v/>
      </c>
      <c r="G83">
        <f>INDEX('Case Study II'!I11:L18, MATCH(B83, INDEX('Case Study II'!I11:L18,,1), 0), 2)</f>
        <v/>
      </c>
      <c r="H83">
        <f>INDEX('Case Study II'!I11:L18, MATCH(B83, INDEX('Case Study II'!I11:L18,,1), 0), 3)</f>
        <v/>
      </c>
      <c r="I83">
        <f>INDEX('Case Study II'!I11:L18, MATCH(B83, INDEX('Case Study II'!I11:L18,,1), 0), 4)</f>
        <v/>
      </c>
      <c r="J83" s="59">
        <f>C83*E83*I83</f>
        <v/>
      </c>
      <c r="K83" s="60">
        <f>J83*H83</f>
        <v/>
      </c>
      <c r="L83">
        <f>IF(D83='Interview',1,0)</f>
        <v/>
      </c>
      <c r="M83">
        <f>IF(O83&gt;F83,'Delayed','On time')</f>
        <v/>
      </c>
      <c r="N83" s="61">
        <f>IF(O83&gt;F83,O83-F83,0)</f>
        <v/>
      </c>
      <c r="O83">
        <f>DATE(2025,3,25)</f>
        <v/>
      </c>
    </row>
    <row r="84">
      <c r="A84">
        <f>'Case Study II'!B93</f>
        <v/>
      </c>
      <c r="B84">
        <f>'Case Study II'!I93</f>
        <v/>
      </c>
      <c r="C84">
        <f>'Case Study II'!D93</f>
        <v/>
      </c>
      <c r="D84">
        <f>'Case Study II'!E93</f>
        <v/>
      </c>
      <c r="E84">
        <f>'Case Study II'!F93</f>
        <v/>
      </c>
      <c r="F84">
        <f>'Case Study II'!G93</f>
        <v/>
      </c>
      <c r="G84">
        <f>INDEX('Case Study II'!I11:L18, MATCH(B84, INDEX('Case Study II'!I11:L18,,1), 0), 2)</f>
        <v/>
      </c>
      <c r="H84">
        <f>INDEX('Case Study II'!I11:L18, MATCH(B84, INDEX('Case Study II'!I11:L18,,1), 0), 3)</f>
        <v/>
      </c>
      <c r="I84">
        <f>INDEX('Case Study II'!I11:L18, MATCH(B84, INDEX('Case Study II'!I11:L18,,1), 0), 4)</f>
        <v/>
      </c>
      <c r="J84" s="59">
        <f>C84*E84*I84</f>
        <v/>
      </c>
      <c r="K84" s="60">
        <f>J84*H84</f>
        <v/>
      </c>
      <c r="L84">
        <f>IF(D84='Interview',1,0)</f>
        <v/>
      </c>
      <c r="M84">
        <f>IF(O84&gt;F84,'Delayed','On time')</f>
        <v/>
      </c>
      <c r="N84" s="61">
        <f>IF(O84&gt;F84,O84-F84,0)</f>
        <v/>
      </c>
      <c r="O84">
        <f>DATE(2025,3,25)</f>
        <v/>
      </c>
    </row>
    <row r="85">
      <c r="A85">
        <f>'Case Study II'!B94</f>
        <v/>
      </c>
      <c r="B85">
        <f>'Case Study II'!I94</f>
        <v/>
      </c>
      <c r="C85">
        <f>'Case Study II'!D94</f>
        <v/>
      </c>
      <c r="D85">
        <f>'Case Study II'!E94</f>
        <v/>
      </c>
      <c r="E85">
        <f>'Case Study II'!F94</f>
        <v/>
      </c>
      <c r="F85">
        <f>'Case Study II'!G94</f>
        <v/>
      </c>
      <c r="G85">
        <f>INDEX('Case Study II'!I11:L18, MATCH(B85, INDEX('Case Study II'!I11:L18,,1), 0), 2)</f>
        <v/>
      </c>
      <c r="H85">
        <f>INDEX('Case Study II'!I11:L18, MATCH(B85, INDEX('Case Study II'!I11:L18,,1), 0), 3)</f>
        <v/>
      </c>
      <c r="I85">
        <f>INDEX('Case Study II'!I11:L18, MATCH(B85, INDEX('Case Study II'!I11:L18,,1), 0), 4)</f>
        <v/>
      </c>
      <c r="J85" s="59">
        <f>C85*E85*I85</f>
        <v/>
      </c>
      <c r="K85" s="60">
        <f>J85*H85</f>
        <v/>
      </c>
      <c r="L85">
        <f>IF(D85='Interview',1,0)</f>
        <v/>
      </c>
      <c r="M85">
        <f>IF(O85&gt;F85,'Delayed','On time')</f>
        <v/>
      </c>
      <c r="N85" s="61">
        <f>IF(O85&gt;F85,O85-F85,0)</f>
        <v/>
      </c>
      <c r="O85">
        <f>DATE(2025,3,25)</f>
        <v/>
      </c>
    </row>
    <row r="86">
      <c r="A86">
        <f>'Case Study II'!B95</f>
        <v/>
      </c>
      <c r="B86">
        <f>'Case Study II'!I95</f>
        <v/>
      </c>
      <c r="C86">
        <f>'Case Study II'!D95</f>
        <v/>
      </c>
      <c r="D86">
        <f>'Case Study II'!E95</f>
        <v/>
      </c>
      <c r="E86">
        <f>'Case Study II'!F95</f>
        <v/>
      </c>
      <c r="F86">
        <f>'Case Study II'!G95</f>
        <v/>
      </c>
      <c r="G86">
        <f>INDEX('Case Study II'!I11:L18, MATCH(B86, INDEX('Case Study II'!I11:L18,,1), 0), 2)</f>
        <v/>
      </c>
      <c r="H86">
        <f>INDEX('Case Study II'!I11:L18, MATCH(B86, INDEX('Case Study II'!I11:L18,,1), 0), 3)</f>
        <v/>
      </c>
      <c r="I86">
        <f>INDEX('Case Study II'!I11:L18, MATCH(B86, INDEX('Case Study II'!I11:L18,,1), 0), 4)</f>
        <v/>
      </c>
      <c r="J86" s="59">
        <f>C86*E86*I86</f>
        <v/>
      </c>
      <c r="K86" s="60">
        <f>J86*H86</f>
        <v/>
      </c>
      <c r="L86">
        <f>IF(D86='Interview',1,0)</f>
        <v/>
      </c>
      <c r="M86">
        <f>IF(O86&gt;F86,'Delayed','On time')</f>
        <v/>
      </c>
      <c r="N86" s="61">
        <f>IF(O86&gt;F86,O86-F86,0)</f>
        <v/>
      </c>
      <c r="O86">
        <f>DATE(2025,3,25)</f>
        <v/>
      </c>
    </row>
    <row r="87">
      <c r="A87">
        <f>'Case Study II'!B96</f>
        <v/>
      </c>
      <c r="B87">
        <f>'Case Study II'!I96</f>
        <v/>
      </c>
      <c r="C87">
        <f>'Case Study II'!D96</f>
        <v/>
      </c>
      <c r="D87">
        <f>'Case Study II'!E96</f>
        <v/>
      </c>
      <c r="E87">
        <f>'Case Study II'!F96</f>
        <v/>
      </c>
      <c r="F87">
        <f>'Case Study II'!G96</f>
        <v/>
      </c>
      <c r="G87">
        <f>INDEX('Case Study II'!I11:L18, MATCH(B87, INDEX('Case Study II'!I11:L18,,1), 0), 2)</f>
        <v/>
      </c>
      <c r="H87">
        <f>INDEX('Case Study II'!I11:L18, MATCH(B87, INDEX('Case Study II'!I11:L18,,1), 0), 3)</f>
        <v/>
      </c>
      <c r="I87">
        <f>INDEX('Case Study II'!I11:L18, MATCH(B87, INDEX('Case Study II'!I11:L18,,1), 0), 4)</f>
        <v/>
      </c>
      <c r="J87" s="59">
        <f>C87*E87*I87</f>
        <v/>
      </c>
      <c r="K87" s="60">
        <f>J87*H87</f>
        <v/>
      </c>
      <c r="L87">
        <f>IF(D87='Interview',1,0)</f>
        <v/>
      </c>
      <c r="M87">
        <f>IF(O87&gt;F87,'Delayed','On time')</f>
        <v/>
      </c>
      <c r="N87" s="61">
        <f>IF(O87&gt;F87,O87-F87,0)</f>
        <v/>
      </c>
      <c r="O87">
        <f>DATE(2025,3,25)</f>
        <v/>
      </c>
    </row>
    <row r="88">
      <c r="A88">
        <f>'Case Study II'!B97</f>
        <v/>
      </c>
      <c r="B88">
        <f>'Case Study II'!I97</f>
        <v/>
      </c>
      <c r="C88">
        <f>'Case Study II'!D97</f>
        <v/>
      </c>
      <c r="D88">
        <f>'Case Study II'!E97</f>
        <v/>
      </c>
      <c r="E88">
        <f>'Case Study II'!F97</f>
        <v/>
      </c>
      <c r="F88">
        <f>'Case Study II'!G97</f>
        <v/>
      </c>
      <c r="G88">
        <f>INDEX('Case Study II'!I11:L18, MATCH(B88, INDEX('Case Study II'!I11:L18,,1), 0), 2)</f>
        <v/>
      </c>
      <c r="H88">
        <f>INDEX('Case Study II'!I11:L18, MATCH(B88, INDEX('Case Study II'!I11:L18,,1), 0), 3)</f>
        <v/>
      </c>
      <c r="I88">
        <f>INDEX('Case Study II'!I11:L18, MATCH(B88, INDEX('Case Study II'!I11:L18,,1), 0), 4)</f>
        <v/>
      </c>
      <c r="J88" s="59">
        <f>C88*E88*I88</f>
        <v/>
      </c>
      <c r="K88" s="60">
        <f>J88*H88</f>
        <v/>
      </c>
      <c r="L88">
        <f>IF(D88='Interview',1,0)</f>
        <v/>
      </c>
      <c r="M88">
        <f>IF(O88&gt;F88,'Delayed','On time')</f>
        <v/>
      </c>
      <c r="N88" s="61">
        <f>IF(O88&gt;F88,O88-F88,0)</f>
        <v/>
      </c>
      <c r="O88">
        <f>DATE(2025,3,25)</f>
        <v/>
      </c>
    </row>
    <row r="89">
      <c r="A89">
        <f>'Case Study II'!B98</f>
        <v/>
      </c>
      <c r="B89">
        <f>'Case Study II'!I98</f>
        <v/>
      </c>
      <c r="C89">
        <f>'Case Study II'!D98</f>
        <v/>
      </c>
      <c r="D89">
        <f>'Case Study II'!E98</f>
        <v/>
      </c>
      <c r="E89">
        <f>'Case Study II'!F98</f>
        <v/>
      </c>
      <c r="F89">
        <f>'Case Study II'!G98</f>
        <v/>
      </c>
      <c r="G89">
        <f>INDEX('Case Study II'!I11:L18, MATCH(B89, INDEX('Case Study II'!I11:L18,,1), 0), 2)</f>
        <v/>
      </c>
      <c r="H89">
        <f>INDEX('Case Study II'!I11:L18, MATCH(B89, INDEX('Case Study II'!I11:L18,,1), 0), 3)</f>
        <v/>
      </c>
      <c r="I89">
        <f>INDEX('Case Study II'!I11:L18, MATCH(B89, INDEX('Case Study II'!I11:L18,,1), 0), 4)</f>
        <v/>
      </c>
      <c r="J89" s="59">
        <f>C89*E89*I89</f>
        <v/>
      </c>
      <c r="K89" s="60">
        <f>J89*H89</f>
        <v/>
      </c>
      <c r="L89">
        <f>IF(D89='Interview',1,0)</f>
        <v/>
      </c>
      <c r="M89">
        <f>IF(O89&gt;F89,'Delayed','On time')</f>
        <v/>
      </c>
      <c r="N89" s="61">
        <f>IF(O89&gt;F89,O89-F89,0)</f>
        <v/>
      </c>
      <c r="O89">
        <f>DATE(2025,3,25)</f>
        <v/>
      </c>
    </row>
    <row r="90">
      <c r="A90">
        <f>'Case Study II'!B99</f>
        <v/>
      </c>
      <c r="B90">
        <f>'Case Study II'!I99</f>
        <v/>
      </c>
      <c r="C90">
        <f>'Case Study II'!D99</f>
        <v/>
      </c>
      <c r="D90">
        <f>'Case Study II'!E99</f>
        <v/>
      </c>
      <c r="E90">
        <f>'Case Study II'!F99</f>
        <v/>
      </c>
      <c r="F90">
        <f>'Case Study II'!G99</f>
        <v/>
      </c>
      <c r="G90">
        <f>INDEX('Case Study II'!I11:L18, MATCH(B90, INDEX('Case Study II'!I11:L18,,1), 0), 2)</f>
        <v/>
      </c>
      <c r="H90">
        <f>INDEX('Case Study II'!I11:L18, MATCH(B90, INDEX('Case Study II'!I11:L18,,1), 0), 3)</f>
        <v/>
      </c>
      <c r="I90">
        <f>INDEX('Case Study II'!I11:L18, MATCH(B90, INDEX('Case Study II'!I11:L18,,1), 0), 4)</f>
        <v/>
      </c>
      <c r="J90" s="59">
        <f>C90*E90*I90</f>
        <v/>
      </c>
      <c r="K90" s="60">
        <f>J90*H90</f>
        <v/>
      </c>
      <c r="L90">
        <f>IF(D90='Interview',1,0)</f>
        <v/>
      </c>
      <c r="M90">
        <f>IF(O90&gt;F90,'Delayed','On time')</f>
        <v/>
      </c>
      <c r="N90" s="61">
        <f>IF(O90&gt;F90,O90-F90,0)</f>
        <v/>
      </c>
      <c r="O90">
        <f>DATE(2025,3,25)</f>
        <v/>
      </c>
    </row>
    <row r="91">
      <c r="A91">
        <f>'Case Study II'!B100</f>
        <v/>
      </c>
      <c r="B91">
        <f>'Case Study II'!I100</f>
        <v/>
      </c>
      <c r="C91">
        <f>'Case Study II'!D100</f>
        <v/>
      </c>
      <c r="D91">
        <f>'Case Study II'!E100</f>
        <v/>
      </c>
      <c r="E91">
        <f>'Case Study II'!F100</f>
        <v/>
      </c>
      <c r="F91">
        <f>'Case Study II'!G100</f>
        <v/>
      </c>
      <c r="G91">
        <f>INDEX('Case Study II'!I11:L18, MATCH(B91, INDEX('Case Study II'!I11:L18,,1), 0), 2)</f>
        <v/>
      </c>
      <c r="H91">
        <f>INDEX('Case Study II'!I11:L18, MATCH(B91, INDEX('Case Study II'!I11:L18,,1), 0), 3)</f>
        <v/>
      </c>
      <c r="I91">
        <f>INDEX('Case Study II'!I11:L18, MATCH(B91, INDEX('Case Study II'!I11:L18,,1), 0), 4)</f>
        <v/>
      </c>
      <c r="J91" s="59">
        <f>C91*E91*I91</f>
        <v/>
      </c>
      <c r="K91" s="60">
        <f>J91*H91</f>
        <v/>
      </c>
      <c r="L91">
        <f>IF(D91='Interview',1,0)</f>
        <v/>
      </c>
      <c r="M91">
        <f>IF(O91&gt;F91,'Delayed','On time')</f>
        <v/>
      </c>
      <c r="N91" s="61">
        <f>IF(O91&gt;F91,O91-F91,0)</f>
        <v/>
      </c>
      <c r="O91">
        <f>DATE(2025,3,25)</f>
        <v/>
      </c>
    </row>
    <row r="92">
      <c r="A92">
        <f>'Case Study II'!B101</f>
        <v/>
      </c>
      <c r="B92">
        <f>'Case Study II'!I101</f>
        <v/>
      </c>
      <c r="C92">
        <f>'Case Study II'!D101</f>
        <v/>
      </c>
      <c r="D92">
        <f>'Case Study II'!E101</f>
        <v/>
      </c>
      <c r="E92">
        <f>'Case Study II'!F101</f>
        <v/>
      </c>
      <c r="F92">
        <f>'Case Study II'!G101</f>
        <v/>
      </c>
      <c r="G92">
        <f>INDEX('Case Study II'!I11:L18, MATCH(B92, INDEX('Case Study II'!I11:L18,,1), 0), 2)</f>
        <v/>
      </c>
      <c r="H92">
        <f>INDEX('Case Study II'!I11:L18, MATCH(B92, INDEX('Case Study II'!I11:L18,,1), 0), 3)</f>
        <v/>
      </c>
      <c r="I92">
        <f>INDEX('Case Study II'!I11:L18, MATCH(B92, INDEX('Case Study II'!I11:L18,,1), 0), 4)</f>
        <v/>
      </c>
      <c r="J92" s="59">
        <f>C92*E92*I92</f>
        <v/>
      </c>
      <c r="K92" s="60">
        <f>J92*H92</f>
        <v/>
      </c>
      <c r="L92">
        <f>IF(D92='Interview',1,0)</f>
        <v/>
      </c>
      <c r="M92">
        <f>IF(O92&gt;F92,'Delayed','On time')</f>
        <v/>
      </c>
      <c r="N92" s="61">
        <f>IF(O92&gt;F92,O92-F92,0)</f>
        <v/>
      </c>
      <c r="O92">
        <f>DATE(2025,3,25)</f>
        <v/>
      </c>
    </row>
    <row r="93">
      <c r="A93">
        <f>'Case Study II'!B102</f>
        <v/>
      </c>
      <c r="B93">
        <f>'Case Study II'!I102</f>
        <v/>
      </c>
      <c r="C93">
        <f>'Case Study II'!D102</f>
        <v/>
      </c>
      <c r="D93">
        <f>'Case Study II'!E102</f>
        <v/>
      </c>
      <c r="E93">
        <f>'Case Study II'!F102</f>
        <v/>
      </c>
      <c r="F93">
        <f>'Case Study II'!G102</f>
        <v/>
      </c>
      <c r="G93">
        <f>INDEX('Case Study II'!I11:L18, MATCH(B93, INDEX('Case Study II'!I11:L18,,1), 0), 2)</f>
        <v/>
      </c>
      <c r="H93">
        <f>INDEX('Case Study II'!I11:L18, MATCH(B93, INDEX('Case Study II'!I11:L18,,1), 0), 3)</f>
        <v/>
      </c>
      <c r="I93">
        <f>INDEX('Case Study II'!I11:L18, MATCH(B93, INDEX('Case Study II'!I11:L18,,1), 0), 4)</f>
        <v/>
      </c>
      <c r="J93" s="59">
        <f>C93*E93*I93</f>
        <v/>
      </c>
      <c r="K93" s="60">
        <f>J93*H93</f>
        <v/>
      </c>
      <c r="L93">
        <f>IF(D93='Interview',1,0)</f>
        <v/>
      </c>
      <c r="M93">
        <f>IF(O93&gt;F93,'Delayed','On time')</f>
        <v/>
      </c>
      <c r="N93" s="61">
        <f>IF(O93&gt;F93,O93-F93,0)</f>
        <v/>
      </c>
      <c r="O93">
        <f>DATE(2025,3,25)</f>
        <v/>
      </c>
    </row>
    <row r="94">
      <c r="A94">
        <f>'Case Study II'!B103</f>
        <v/>
      </c>
      <c r="B94">
        <f>'Case Study II'!I103</f>
        <v/>
      </c>
      <c r="C94">
        <f>'Case Study II'!D103</f>
        <v/>
      </c>
      <c r="D94">
        <f>'Case Study II'!E103</f>
        <v/>
      </c>
      <c r="E94">
        <f>'Case Study II'!F103</f>
        <v/>
      </c>
      <c r="F94">
        <f>'Case Study II'!G103</f>
        <v/>
      </c>
      <c r="G94">
        <f>INDEX('Case Study II'!I11:L18, MATCH(B94, INDEX('Case Study II'!I11:L18,,1), 0), 2)</f>
        <v/>
      </c>
      <c r="H94">
        <f>INDEX('Case Study II'!I11:L18, MATCH(B94, INDEX('Case Study II'!I11:L18,,1), 0), 3)</f>
        <v/>
      </c>
      <c r="I94">
        <f>INDEX('Case Study II'!I11:L18, MATCH(B94, INDEX('Case Study II'!I11:L18,,1), 0), 4)</f>
        <v/>
      </c>
      <c r="J94" s="59">
        <f>C94*E94*I94</f>
        <v/>
      </c>
      <c r="K94" s="60">
        <f>J94*H94</f>
        <v/>
      </c>
      <c r="L94">
        <f>IF(D94='Interview',1,0)</f>
        <v/>
      </c>
      <c r="M94">
        <f>IF(O94&gt;F94,'Delayed','On time')</f>
        <v/>
      </c>
      <c r="N94" s="61">
        <f>IF(O94&gt;F94,O94-F94,0)</f>
        <v/>
      </c>
      <c r="O94">
        <f>DATE(2025,3,25)</f>
        <v/>
      </c>
    </row>
    <row r="95">
      <c r="A95">
        <f>'Case Study II'!B104</f>
        <v/>
      </c>
      <c r="B95">
        <f>'Case Study II'!I104</f>
        <v/>
      </c>
      <c r="C95">
        <f>'Case Study II'!D104</f>
        <v/>
      </c>
      <c r="D95">
        <f>'Case Study II'!E104</f>
        <v/>
      </c>
      <c r="E95">
        <f>'Case Study II'!F104</f>
        <v/>
      </c>
      <c r="F95">
        <f>'Case Study II'!G104</f>
        <v/>
      </c>
      <c r="G95">
        <f>INDEX('Case Study II'!I11:L18, MATCH(B95, INDEX('Case Study II'!I11:L18,,1), 0), 2)</f>
        <v/>
      </c>
      <c r="H95">
        <f>INDEX('Case Study II'!I11:L18, MATCH(B95, INDEX('Case Study II'!I11:L18,,1), 0), 3)</f>
        <v/>
      </c>
      <c r="I95">
        <f>INDEX('Case Study II'!I11:L18, MATCH(B95, INDEX('Case Study II'!I11:L18,,1), 0), 4)</f>
        <v/>
      </c>
      <c r="J95" s="59">
        <f>C95*E95*I95</f>
        <v/>
      </c>
      <c r="K95" s="60">
        <f>J95*H95</f>
        <v/>
      </c>
      <c r="L95">
        <f>IF(D95='Interview',1,0)</f>
        <v/>
      </c>
      <c r="M95">
        <f>IF(O95&gt;F95,'Delayed','On time')</f>
        <v/>
      </c>
      <c r="N95" s="61">
        <f>IF(O95&gt;F95,O95-F95,0)</f>
        <v/>
      </c>
      <c r="O95">
        <f>DATE(2025,3,25)</f>
        <v/>
      </c>
    </row>
    <row r="96">
      <c r="A96">
        <f>'Case Study II'!B105</f>
        <v/>
      </c>
      <c r="B96">
        <f>'Case Study II'!I105</f>
        <v/>
      </c>
      <c r="C96">
        <f>'Case Study II'!D105</f>
        <v/>
      </c>
      <c r="D96">
        <f>'Case Study II'!E105</f>
        <v/>
      </c>
      <c r="E96">
        <f>'Case Study II'!F105</f>
        <v/>
      </c>
      <c r="F96">
        <f>'Case Study II'!G105</f>
        <v/>
      </c>
      <c r="G96">
        <f>INDEX('Case Study II'!I11:L18, MATCH(B96, INDEX('Case Study II'!I11:L18,,1), 0), 2)</f>
        <v/>
      </c>
      <c r="H96">
        <f>INDEX('Case Study II'!I11:L18, MATCH(B96, INDEX('Case Study II'!I11:L18,,1), 0), 3)</f>
        <v/>
      </c>
      <c r="I96">
        <f>INDEX('Case Study II'!I11:L18, MATCH(B96, INDEX('Case Study II'!I11:L18,,1), 0), 4)</f>
        <v/>
      </c>
      <c r="J96" s="59">
        <f>C96*E96*I96</f>
        <v/>
      </c>
      <c r="K96" s="60">
        <f>J96*H96</f>
        <v/>
      </c>
      <c r="L96">
        <f>IF(D96='Interview',1,0)</f>
        <v/>
      </c>
      <c r="M96">
        <f>IF(O96&gt;F96,'Delayed','On time')</f>
        <v/>
      </c>
      <c r="N96" s="61">
        <f>IF(O96&gt;F96,O96-F96,0)</f>
        <v/>
      </c>
      <c r="O96">
        <f>DATE(2025,3,25)</f>
        <v/>
      </c>
    </row>
    <row r="97">
      <c r="A97">
        <f>'Case Study II'!B106</f>
        <v/>
      </c>
      <c r="B97">
        <f>'Case Study II'!I106</f>
        <v/>
      </c>
      <c r="C97">
        <f>'Case Study II'!D106</f>
        <v/>
      </c>
      <c r="D97">
        <f>'Case Study II'!E106</f>
        <v/>
      </c>
      <c r="E97">
        <f>'Case Study II'!F106</f>
        <v/>
      </c>
      <c r="F97">
        <f>'Case Study II'!G106</f>
        <v/>
      </c>
      <c r="G97">
        <f>INDEX('Case Study II'!I11:L18, MATCH(B97, INDEX('Case Study II'!I11:L18,,1), 0), 2)</f>
        <v/>
      </c>
      <c r="H97">
        <f>INDEX('Case Study II'!I11:L18, MATCH(B97, INDEX('Case Study II'!I11:L18,,1), 0), 3)</f>
        <v/>
      </c>
      <c r="I97">
        <f>INDEX('Case Study II'!I11:L18, MATCH(B97, INDEX('Case Study II'!I11:L18,,1), 0), 4)</f>
        <v/>
      </c>
      <c r="J97" s="59">
        <f>C97*E97*I97</f>
        <v/>
      </c>
      <c r="K97" s="60">
        <f>J97*H97</f>
        <v/>
      </c>
      <c r="L97">
        <f>IF(D97='Interview',1,0)</f>
        <v/>
      </c>
      <c r="M97">
        <f>IF(O97&gt;F97,'Delayed','On time')</f>
        <v/>
      </c>
      <c r="N97" s="61">
        <f>IF(O97&gt;F97,O97-F97,0)</f>
        <v/>
      </c>
      <c r="O97">
        <f>DATE(2025,3,25)</f>
        <v/>
      </c>
    </row>
    <row r="98">
      <c r="A98">
        <f>'Case Study II'!B107</f>
        <v/>
      </c>
      <c r="B98">
        <f>'Case Study II'!I107</f>
        <v/>
      </c>
      <c r="C98">
        <f>'Case Study II'!D107</f>
        <v/>
      </c>
      <c r="D98">
        <f>'Case Study II'!E107</f>
        <v/>
      </c>
      <c r="E98">
        <f>'Case Study II'!F107</f>
        <v/>
      </c>
      <c r="F98">
        <f>'Case Study II'!G107</f>
        <v/>
      </c>
      <c r="G98">
        <f>INDEX('Case Study II'!I11:L18, MATCH(B98, INDEX('Case Study II'!I11:L18,,1), 0), 2)</f>
        <v/>
      </c>
      <c r="H98">
        <f>INDEX('Case Study II'!I11:L18, MATCH(B98, INDEX('Case Study II'!I11:L18,,1), 0), 3)</f>
        <v/>
      </c>
      <c r="I98">
        <f>INDEX('Case Study II'!I11:L18, MATCH(B98, INDEX('Case Study II'!I11:L18,,1), 0), 4)</f>
        <v/>
      </c>
      <c r="J98" s="59">
        <f>C98*E98*I98</f>
        <v/>
      </c>
      <c r="K98" s="60">
        <f>J98*H98</f>
        <v/>
      </c>
      <c r="L98">
        <f>IF(D98='Interview',1,0)</f>
        <v/>
      </c>
      <c r="M98">
        <f>IF(O98&gt;F98,'Delayed','On time')</f>
        <v/>
      </c>
      <c r="N98" s="61">
        <f>IF(O98&gt;F98,O98-F98,0)</f>
        <v/>
      </c>
      <c r="O98">
        <f>DATE(2025,3,25)</f>
        <v/>
      </c>
    </row>
    <row r="99">
      <c r="A99">
        <f>'Case Study II'!B108</f>
        <v/>
      </c>
      <c r="B99">
        <f>'Case Study II'!I108</f>
        <v/>
      </c>
      <c r="C99">
        <f>'Case Study II'!D108</f>
        <v/>
      </c>
      <c r="D99">
        <f>'Case Study II'!E108</f>
        <v/>
      </c>
      <c r="E99">
        <f>'Case Study II'!F108</f>
        <v/>
      </c>
      <c r="F99">
        <f>'Case Study II'!G108</f>
        <v/>
      </c>
      <c r="G99">
        <f>INDEX('Case Study II'!I11:L18, MATCH(B99, INDEX('Case Study II'!I11:L18,,1), 0), 2)</f>
        <v/>
      </c>
      <c r="H99">
        <f>INDEX('Case Study II'!I11:L18, MATCH(B99, INDEX('Case Study II'!I11:L18,,1), 0), 3)</f>
        <v/>
      </c>
      <c r="I99">
        <f>INDEX('Case Study II'!I11:L18, MATCH(B99, INDEX('Case Study II'!I11:L18,,1), 0), 4)</f>
        <v/>
      </c>
      <c r="J99" s="59">
        <f>C99*E99*I99</f>
        <v/>
      </c>
      <c r="K99" s="60">
        <f>J99*H99</f>
        <v/>
      </c>
      <c r="L99">
        <f>IF(D99='Interview',1,0)</f>
        <v/>
      </c>
      <c r="M99">
        <f>IF(O99&gt;F99,'Delayed','On time')</f>
        <v/>
      </c>
      <c r="N99" s="61">
        <f>IF(O99&gt;F99,O99-F99,0)</f>
        <v/>
      </c>
      <c r="O99">
        <f>DATE(2025,3,25)</f>
        <v/>
      </c>
    </row>
    <row r="100">
      <c r="A100">
        <f>'Case Study II'!B109</f>
        <v/>
      </c>
      <c r="B100">
        <f>'Case Study II'!I109</f>
        <v/>
      </c>
      <c r="C100">
        <f>'Case Study II'!D109</f>
        <v/>
      </c>
      <c r="D100">
        <f>'Case Study II'!E109</f>
        <v/>
      </c>
      <c r="E100">
        <f>'Case Study II'!F109</f>
        <v/>
      </c>
      <c r="F100">
        <f>'Case Study II'!G109</f>
        <v/>
      </c>
      <c r="G100">
        <f>INDEX('Case Study II'!I11:L18, MATCH(B100, INDEX('Case Study II'!I11:L18,,1), 0), 2)</f>
        <v/>
      </c>
      <c r="H100">
        <f>INDEX('Case Study II'!I11:L18, MATCH(B100, INDEX('Case Study II'!I11:L18,,1), 0), 3)</f>
        <v/>
      </c>
      <c r="I100">
        <f>INDEX('Case Study II'!I11:L18, MATCH(B100, INDEX('Case Study II'!I11:L18,,1), 0), 4)</f>
        <v/>
      </c>
      <c r="J100" s="59">
        <f>C100*E100*I100</f>
        <v/>
      </c>
      <c r="K100" s="60">
        <f>J100*H100</f>
        <v/>
      </c>
      <c r="L100">
        <f>IF(D100='Interview',1,0)</f>
        <v/>
      </c>
      <c r="M100">
        <f>IF(O100&gt;F100,'Delayed','On time')</f>
        <v/>
      </c>
      <c r="N100" s="61">
        <f>IF(O100&gt;F100,O100-F100,0)</f>
        <v/>
      </c>
      <c r="O100">
        <f>DATE(2025,3,25)</f>
        <v/>
      </c>
    </row>
    <row r="101">
      <c r="A101">
        <f>'Case Study II'!B110</f>
        <v/>
      </c>
      <c r="B101">
        <f>'Case Study II'!I110</f>
        <v/>
      </c>
      <c r="C101">
        <f>'Case Study II'!D110</f>
        <v/>
      </c>
      <c r="D101">
        <f>'Case Study II'!E110</f>
        <v/>
      </c>
      <c r="E101">
        <f>'Case Study II'!F110</f>
        <v/>
      </c>
      <c r="F101">
        <f>'Case Study II'!G110</f>
        <v/>
      </c>
      <c r="G101">
        <f>INDEX('Case Study II'!I11:L18, MATCH(B101, INDEX('Case Study II'!I11:L18,,1), 0), 2)</f>
        <v/>
      </c>
      <c r="H101">
        <f>INDEX('Case Study II'!I11:L18, MATCH(B101, INDEX('Case Study II'!I11:L18,,1), 0), 3)</f>
        <v/>
      </c>
      <c r="I101">
        <f>INDEX('Case Study II'!I11:L18, MATCH(B101, INDEX('Case Study II'!I11:L18,,1), 0), 4)</f>
        <v/>
      </c>
      <c r="J101" s="59">
        <f>C101*E101*I101</f>
        <v/>
      </c>
      <c r="K101" s="60">
        <f>J101*H101</f>
        <v/>
      </c>
      <c r="L101">
        <f>IF(D101='Interview',1,0)</f>
        <v/>
      </c>
      <c r="M101">
        <f>IF(O101&gt;F101,'Delayed','On time')</f>
        <v/>
      </c>
      <c r="N101" s="61">
        <f>IF(O101&gt;F101,O101-F101,0)</f>
        <v/>
      </c>
      <c r="O101">
        <f>DATE(2025,3,25)</f>
        <v/>
      </c>
    </row>
    <row r="102">
      <c r="A102">
        <f>'Case Study II'!B111</f>
        <v/>
      </c>
      <c r="B102">
        <f>'Case Study II'!I111</f>
        <v/>
      </c>
      <c r="C102">
        <f>'Case Study II'!D111</f>
        <v/>
      </c>
      <c r="D102">
        <f>'Case Study II'!E111</f>
        <v/>
      </c>
      <c r="E102">
        <f>'Case Study II'!F111</f>
        <v/>
      </c>
      <c r="F102">
        <f>'Case Study II'!G111</f>
        <v/>
      </c>
      <c r="G102">
        <f>INDEX('Case Study II'!I11:L18, MATCH(B102, INDEX('Case Study II'!I11:L18,,1), 0), 2)</f>
        <v/>
      </c>
      <c r="H102">
        <f>INDEX('Case Study II'!I11:L18, MATCH(B102, INDEX('Case Study II'!I11:L18,,1), 0), 3)</f>
        <v/>
      </c>
      <c r="I102">
        <f>INDEX('Case Study II'!I11:L18, MATCH(B102, INDEX('Case Study II'!I11:L18,,1), 0), 4)</f>
        <v/>
      </c>
      <c r="J102" s="59">
        <f>C102*E102*I102</f>
        <v/>
      </c>
      <c r="K102" s="60">
        <f>J102*H102</f>
        <v/>
      </c>
      <c r="L102">
        <f>IF(D102='Interview',1,0)</f>
        <v/>
      </c>
      <c r="M102">
        <f>IF(O102&gt;F102,'Delayed','On time')</f>
        <v/>
      </c>
      <c r="N102" s="61">
        <f>IF(O102&gt;F102,O102-F102,0)</f>
        <v/>
      </c>
      <c r="O102">
        <f>DATE(2025,3,25)</f>
        <v/>
      </c>
    </row>
    <row r="103">
      <c r="A103">
        <f>'Case Study II'!B112</f>
        <v/>
      </c>
      <c r="B103">
        <f>'Case Study II'!I112</f>
        <v/>
      </c>
      <c r="C103">
        <f>'Case Study II'!D112</f>
        <v/>
      </c>
      <c r="D103">
        <f>'Case Study II'!E112</f>
        <v/>
      </c>
      <c r="E103">
        <f>'Case Study II'!F112</f>
        <v/>
      </c>
      <c r="F103">
        <f>'Case Study II'!G112</f>
        <v/>
      </c>
      <c r="G103">
        <f>INDEX('Case Study II'!I11:L18, MATCH(B103, INDEX('Case Study II'!I11:L18,,1), 0), 2)</f>
        <v/>
      </c>
      <c r="H103">
        <f>INDEX('Case Study II'!I11:L18, MATCH(B103, INDEX('Case Study II'!I11:L18,,1), 0), 3)</f>
        <v/>
      </c>
      <c r="I103">
        <f>INDEX('Case Study II'!I11:L18, MATCH(B103, INDEX('Case Study II'!I11:L18,,1), 0), 4)</f>
        <v/>
      </c>
      <c r="J103" s="59">
        <f>C103*E103*I103</f>
        <v/>
      </c>
      <c r="K103" s="60">
        <f>J103*H103</f>
        <v/>
      </c>
      <c r="L103">
        <f>IF(D103='Interview',1,0)</f>
        <v/>
      </c>
      <c r="M103">
        <f>IF(O103&gt;F103,'Delayed','On time')</f>
        <v/>
      </c>
      <c r="N103" s="61">
        <f>IF(O103&gt;F103,O103-F103,0)</f>
        <v/>
      </c>
      <c r="O103">
        <f>DATE(2025,3,25)</f>
        <v/>
      </c>
    </row>
    <row r="104">
      <c r="A104">
        <f>'Case Study II'!B113</f>
        <v/>
      </c>
      <c r="B104">
        <f>'Case Study II'!I113</f>
        <v/>
      </c>
      <c r="C104">
        <f>'Case Study II'!D113</f>
        <v/>
      </c>
      <c r="D104">
        <f>'Case Study II'!E113</f>
        <v/>
      </c>
      <c r="E104">
        <f>'Case Study II'!F113</f>
        <v/>
      </c>
      <c r="F104">
        <f>'Case Study II'!G113</f>
        <v/>
      </c>
      <c r="G104">
        <f>INDEX('Case Study II'!I11:L18, MATCH(B104, INDEX('Case Study II'!I11:L18,,1), 0), 2)</f>
        <v/>
      </c>
      <c r="H104">
        <f>INDEX('Case Study II'!I11:L18, MATCH(B104, INDEX('Case Study II'!I11:L18,,1), 0), 3)</f>
        <v/>
      </c>
      <c r="I104">
        <f>INDEX('Case Study II'!I11:L18, MATCH(B104, INDEX('Case Study II'!I11:L18,,1), 0), 4)</f>
        <v/>
      </c>
      <c r="J104" s="59">
        <f>C104*E104*I104</f>
        <v/>
      </c>
      <c r="K104" s="60">
        <f>J104*H104</f>
        <v/>
      </c>
      <c r="L104">
        <f>IF(D104='Interview',1,0)</f>
        <v/>
      </c>
      <c r="M104">
        <f>IF(O104&gt;F104,'Delayed','On time')</f>
        <v/>
      </c>
      <c r="N104" s="61">
        <f>IF(O104&gt;F104,O104-F104,0)</f>
        <v/>
      </c>
      <c r="O104">
        <f>DATE(2025,3,25)</f>
        <v/>
      </c>
    </row>
    <row r="105">
      <c r="A105">
        <f>'Case Study II'!B114</f>
        <v/>
      </c>
      <c r="B105">
        <f>'Case Study II'!I114</f>
        <v/>
      </c>
      <c r="C105">
        <f>'Case Study II'!D114</f>
        <v/>
      </c>
      <c r="D105">
        <f>'Case Study II'!E114</f>
        <v/>
      </c>
      <c r="E105">
        <f>'Case Study II'!F114</f>
        <v/>
      </c>
      <c r="F105">
        <f>'Case Study II'!G114</f>
        <v/>
      </c>
      <c r="G105">
        <f>INDEX('Case Study II'!I11:L18, MATCH(B105, INDEX('Case Study II'!I11:L18,,1), 0), 2)</f>
        <v/>
      </c>
      <c r="H105">
        <f>INDEX('Case Study II'!I11:L18, MATCH(B105, INDEX('Case Study II'!I11:L18,,1), 0), 3)</f>
        <v/>
      </c>
      <c r="I105">
        <f>INDEX('Case Study II'!I11:L18, MATCH(B105, INDEX('Case Study II'!I11:L18,,1), 0), 4)</f>
        <v/>
      </c>
      <c r="J105" s="59">
        <f>C105*E105*I105</f>
        <v/>
      </c>
      <c r="K105" s="60">
        <f>J105*H105</f>
        <v/>
      </c>
      <c r="L105">
        <f>IF(D105='Interview',1,0)</f>
        <v/>
      </c>
      <c r="M105">
        <f>IF(O105&gt;F105,'Delayed','On time')</f>
        <v/>
      </c>
      <c r="N105" s="61">
        <f>IF(O105&gt;F105,O105-F105,0)</f>
        <v/>
      </c>
      <c r="O105">
        <f>DATE(2025,3,25)</f>
        <v/>
      </c>
    </row>
    <row r="106">
      <c r="A106">
        <f>'Case Study II'!B115</f>
        <v/>
      </c>
      <c r="B106">
        <f>'Case Study II'!I115</f>
        <v/>
      </c>
      <c r="C106">
        <f>'Case Study II'!D115</f>
        <v/>
      </c>
      <c r="D106">
        <f>'Case Study II'!E115</f>
        <v/>
      </c>
      <c r="E106">
        <f>'Case Study II'!F115</f>
        <v/>
      </c>
      <c r="F106">
        <f>'Case Study II'!G115</f>
        <v/>
      </c>
      <c r="G106">
        <f>INDEX('Case Study II'!I11:L18, MATCH(B106, INDEX('Case Study II'!I11:L18,,1), 0), 2)</f>
        <v/>
      </c>
      <c r="H106">
        <f>INDEX('Case Study II'!I11:L18, MATCH(B106, INDEX('Case Study II'!I11:L18,,1), 0), 3)</f>
        <v/>
      </c>
      <c r="I106">
        <f>INDEX('Case Study II'!I11:L18, MATCH(B106, INDEX('Case Study II'!I11:L18,,1), 0), 4)</f>
        <v/>
      </c>
      <c r="J106" s="59">
        <f>C106*E106*I106</f>
        <v/>
      </c>
      <c r="K106" s="60">
        <f>J106*H106</f>
        <v/>
      </c>
      <c r="L106">
        <f>IF(D106='Interview',1,0)</f>
        <v/>
      </c>
      <c r="M106">
        <f>IF(O106&gt;F106,'Delayed','On time')</f>
        <v/>
      </c>
      <c r="N106" s="61">
        <f>IF(O106&gt;F106,O106-F106,0)</f>
        <v/>
      </c>
      <c r="O106">
        <f>DATE(2025,3,25)</f>
        <v/>
      </c>
    </row>
    <row r="107">
      <c r="A107">
        <f>'Case Study II'!B116</f>
        <v/>
      </c>
      <c r="B107">
        <f>'Case Study II'!I116</f>
        <v/>
      </c>
      <c r="C107">
        <f>'Case Study II'!D116</f>
        <v/>
      </c>
      <c r="D107">
        <f>'Case Study II'!E116</f>
        <v/>
      </c>
      <c r="E107">
        <f>'Case Study II'!F116</f>
        <v/>
      </c>
      <c r="F107">
        <f>'Case Study II'!G116</f>
        <v/>
      </c>
      <c r="G107">
        <f>INDEX('Case Study II'!I11:L18, MATCH(B107, INDEX('Case Study II'!I11:L18,,1), 0), 2)</f>
        <v/>
      </c>
      <c r="H107">
        <f>INDEX('Case Study II'!I11:L18, MATCH(B107, INDEX('Case Study II'!I11:L18,,1), 0), 3)</f>
        <v/>
      </c>
      <c r="I107">
        <f>INDEX('Case Study II'!I11:L18, MATCH(B107, INDEX('Case Study II'!I11:L18,,1), 0), 4)</f>
        <v/>
      </c>
      <c r="J107" s="59">
        <f>C107*E107*I107</f>
        <v/>
      </c>
      <c r="K107" s="60">
        <f>J107*H107</f>
        <v/>
      </c>
      <c r="L107">
        <f>IF(D107='Interview',1,0)</f>
        <v/>
      </c>
      <c r="M107">
        <f>IF(O107&gt;F107,'Delayed','On time')</f>
        <v/>
      </c>
      <c r="N107" s="61">
        <f>IF(O107&gt;F107,O107-F107,0)</f>
        <v/>
      </c>
      <c r="O107">
        <f>DATE(2025,3,25)</f>
        <v/>
      </c>
    </row>
    <row r="108">
      <c r="A108">
        <f>'Case Study II'!B117</f>
        <v/>
      </c>
      <c r="B108">
        <f>'Case Study II'!I117</f>
        <v/>
      </c>
      <c r="C108">
        <f>'Case Study II'!D117</f>
        <v/>
      </c>
      <c r="D108">
        <f>'Case Study II'!E117</f>
        <v/>
      </c>
      <c r="E108">
        <f>'Case Study II'!F117</f>
        <v/>
      </c>
      <c r="F108">
        <f>'Case Study II'!G117</f>
        <v/>
      </c>
      <c r="G108">
        <f>INDEX('Case Study II'!I11:L18, MATCH(B108, INDEX('Case Study II'!I11:L18,,1), 0), 2)</f>
        <v/>
      </c>
      <c r="H108">
        <f>INDEX('Case Study II'!I11:L18, MATCH(B108, INDEX('Case Study II'!I11:L18,,1), 0), 3)</f>
        <v/>
      </c>
      <c r="I108">
        <f>INDEX('Case Study II'!I11:L18, MATCH(B108, INDEX('Case Study II'!I11:L18,,1), 0), 4)</f>
        <v/>
      </c>
      <c r="J108" s="59">
        <f>C108*E108*I108</f>
        <v/>
      </c>
      <c r="K108" s="60">
        <f>J108*H108</f>
        <v/>
      </c>
      <c r="L108">
        <f>IF(D108='Interview',1,0)</f>
        <v/>
      </c>
      <c r="M108">
        <f>IF(O108&gt;F108,'Delayed','On time')</f>
        <v/>
      </c>
      <c r="N108" s="61">
        <f>IF(O108&gt;F108,O108-F108,0)</f>
        <v/>
      </c>
      <c r="O108">
        <f>DATE(2025,3,25)</f>
        <v/>
      </c>
    </row>
    <row r="109">
      <c r="A109">
        <f>'Case Study II'!B118</f>
        <v/>
      </c>
      <c r="B109">
        <f>'Case Study II'!I118</f>
        <v/>
      </c>
      <c r="C109">
        <f>'Case Study II'!D118</f>
        <v/>
      </c>
      <c r="D109">
        <f>'Case Study II'!E118</f>
        <v/>
      </c>
      <c r="E109">
        <f>'Case Study II'!F118</f>
        <v/>
      </c>
      <c r="F109">
        <f>'Case Study II'!G118</f>
        <v/>
      </c>
      <c r="G109">
        <f>INDEX('Case Study II'!I11:L18, MATCH(B109, INDEX('Case Study II'!I11:L18,,1), 0), 2)</f>
        <v/>
      </c>
      <c r="H109">
        <f>INDEX('Case Study II'!I11:L18, MATCH(B109, INDEX('Case Study II'!I11:L18,,1), 0), 3)</f>
        <v/>
      </c>
      <c r="I109">
        <f>INDEX('Case Study II'!I11:L18, MATCH(B109, INDEX('Case Study II'!I11:L18,,1), 0), 4)</f>
        <v/>
      </c>
      <c r="J109" s="59">
        <f>C109*E109*I109</f>
        <v/>
      </c>
      <c r="K109" s="60">
        <f>J109*H109</f>
        <v/>
      </c>
      <c r="L109">
        <f>IF(D109='Interview',1,0)</f>
        <v/>
      </c>
      <c r="M109">
        <f>IF(O109&gt;F109,'Delayed','On time')</f>
        <v/>
      </c>
      <c r="N109" s="61">
        <f>IF(O109&gt;F109,O109-F109,0)</f>
        <v/>
      </c>
      <c r="O109">
        <f>DATE(2025,3,25)</f>
        <v/>
      </c>
    </row>
    <row r="110">
      <c r="A110">
        <f>'Case Study II'!B119</f>
        <v/>
      </c>
      <c r="B110">
        <f>'Case Study II'!I119</f>
        <v/>
      </c>
      <c r="C110">
        <f>'Case Study II'!D119</f>
        <v/>
      </c>
      <c r="D110">
        <f>'Case Study II'!E119</f>
        <v/>
      </c>
      <c r="E110">
        <f>'Case Study II'!F119</f>
        <v/>
      </c>
      <c r="F110">
        <f>'Case Study II'!G119</f>
        <v/>
      </c>
      <c r="G110">
        <f>INDEX('Case Study II'!I11:L18, MATCH(B110, INDEX('Case Study II'!I11:L18,,1), 0), 2)</f>
        <v/>
      </c>
      <c r="H110">
        <f>INDEX('Case Study II'!I11:L18, MATCH(B110, INDEX('Case Study II'!I11:L18,,1), 0), 3)</f>
        <v/>
      </c>
      <c r="I110">
        <f>INDEX('Case Study II'!I11:L18, MATCH(B110, INDEX('Case Study II'!I11:L18,,1), 0), 4)</f>
        <v/>
      </c>
      <c r="J110" s="59">
        <f>C110*E110*I110</f>
        <v/>
      </c>
      <c r="K110" s="60">
        <f>J110*H110</f>
        <v/>
      </c>
      <c r="L110">
        <f>IF(D110='Interview',1,0)</f>
        <v/>
      </c>
      <c r="M110">
        <f>IF(O110&gt;F110,'Delayed','On time')</f>
        <v/>
      </c>
      <c r="N110" s="61">
        <f>IF(O110&gt;F110,O110-F110,0)</f>
        <v/>
      </c>
      <c r="O110">
        <f>DATE(2025,3,25)</f>
        <v/>
      </c>
    </row>
    <row r="111">
      <c r="A111">
        <f>'Case Study II'!B120</f>
        <v/>
      </c>
      <c r="B111">
        <f>'Case Study II'!I120</f>
        <v/>
      </c>
      <c r="C111">
        <f>'Case Study II'!D120</f>
        <v/>
      </c>
      <c r="D111">
        <f>'Case Study II'!E120</f>
        <v/>
      </c>
      <c r="E111">
        <f>'Case Study II'!F120</f>
        <v/>
      </c>
      <c r="F111">
        <f>'Case Study II'!G120</f>
        <v/>
      </c>
      <c r="G111">
        <f>INDEX('Case Study II'!I11:L18, MATCH(B111, INDEX('Case Study II'!I11:L18,,1), 0), 2)</f>
        <v/>
      </c>
      <c r="H111">
        <f>INDEX('Case Study II'!I11:L18, MATCH(B111, INDEX('Case Study II'!I11:L18,,1), 0), 3)</f>
        <v/>
      </c>
      <c r="I111">
        <f>INDEX('Case Study II'!I11:L18, MATCH(B111, INDEX('Case Study II'!I11:L18,,1), 0), 4)</f>
        <v/>
      </c>
      <c r="J111" s="59">
        <f>C111*E111*I111</f>
        <v/>
      </c>
      <c r="K111" s="60">
        <f>J111*H111</f>
        <v/>
      </c>
      <c r="L111">
        <f>IF(D111='Interview',1,0)</f>
        <v/>
      </c>
      <c r="M111">
        <f>IF(O111&gt;F111,'Delayed','On time')</f>
        <v/>
      </c>
      <c r="N111" s="61">
        <f>IF(O111&gt;F111,O111-F111,0)</f>
        <v/>
      </c>
      <c r="O111">
        <f>DATE(2025,3,25)</f>
        <v/>
      </c>
    </row>
    <row r="112">
      <c r="A112">
        <f>'Case Study II'!B121</f>
        <v/>
      </c>
      <c r="B112">
        <f>'Case Study II'!I121</f>
        <v/>
      </c>
      <c r="C112">
        <f>'Case Study II'!D121</f>
        <v/>
      </c>
      <c r="D112">
        <f>'Case Study II'!E121</f>
        <v/>
      </c>
      <c r="E112">
        <f>'Case Study II'!F121</f>
        <v/>
      </c>
      <c r="F112">
        <f>'Case Study II'!G121</f>
        <v/>
      </c>
      <c r="G112">
        <f>INDEX('Case Study II'!I11:L18, MATCH(B112, INDEX('Case Study II'!I11:L18,,1), 0), 2)</f>
        <v/>
      </c>
      <c r="H112">
        <f>INDEX('Case Study II'!I11:L18, MATCH(B112, INDEX('Case Study II'!I11:L18,,1), 0), 3)</f>
        <v/>
      </c>
      <c r="I112">
        <f>INDEX('Case Study II'!I11:L18, MATCH(B112, INDEX('Case Study II'!I11:L18,,1), 0), 4)</f>
        <v/>
      </c>
      <c r="J112" s="59">
        <f>C112*E112*I112</f>
        <v/>
      </c>
      <c r="K112" s="60">
        <f>J112*H112</f>
        <v/>
      </c>
      <c r="L112">
        <f>IF(D112='Interview',1,0)</f>
        <v/>
      </c>
      <c r="M112">
        <f>IF(O112&gt;F112,'Delayed','On time')</f>
        <v/>
      </c>
      <c r="N112" s="61">
        <f>IF(O112&gt;F112,O112-F112,0)</f>
        <v/>
      </c>
      <c r="O112">
        <f>DATE(2025,3,25)</f>
        <v/>
      </c>
    </row>
    <row r="113">
      <c r="A113">
        <f>'Case Study II'!B122</f>
        <v/>
      </c>
      <c r="B113">
        <f>'Case Study II'!I122</f>
        <v/>
      </c>
      <c r="C113">
        <f>'Case Study II'!D122</f>
        <v/>
      </c>
      <c r="D113">
        <f>'Case Study II'!E122</f>
        <v/>
      </c>
      <c r="E113">
        <f>'Case Study II'!F122</f>
        <v/>
      </c>
      <c r="F113">
        <f>'Case Study II'!G122</f>
        <v/>
      </c>
      <c r="G113">
        <f>INDEX('Case Study II'!I11:L18, MATCH(B113, INDEX('Case Study II'!I11:L18,,1), 0), 2)</f>
        <v/>
      </c>
      <c r="H113">
        <f>INDEX('Case Study II'!I11:L18, MATCH(B113, INDEX('Case Study II'!I11:L18,,1), 0), 3)</f>
        <v/>
      </c>
      <c r="I113">
        <f>INDEX('Case Study II'!I11:L18, MATCH(B113, INDEX('Case Study II'!I11:L18,,1), 0), 4)</f>
        <v/>
      </c>
      <c r="J113" s="59">
        <f>C113*E113*I113</f>
        <v/>
      </c>
      <c r="K113" s="60">
        <f>J113*H113</f>
        <v/>
      </c>
      <c r="L113">
        <f>IF(D113='Interview',1,0)</f>
        <v/>
      </c>
      <c r="M113">
        <f>IF(O113&gt;F113,'Delayed','On time')</f>
        <v/>
      </c>
      <c r="N113" s="61">
        <f>IF(O113&gt;F113,O113-F113,0)</f>
        <v/>
      </c>
      <c r="O113">
        <f>DATE(2025,3,25)</f>
        <v/>
      </c>
    </row>
    <row r="114">
      <c r="A114">
        <f>'Case Study II'!B123</f>
        <v/>
      </c>
      <c r="B114">
        <f>'Case Study II'!I123</f>
        <v/>
      </c>
      <c r="C114">
        <f>'Case Study II'!D123</f>
        <v/>
      </c>
      <c r="D114">
        <f>'Case Study II'!E123</f>
        <v/>
      </c>
      <c r="E114">
        <f>'Case Study II'!F123</f>
        <v/>
      </c>
      <c r="F114">
        <f>'Case Study II'!G123</f>
        <v/>
      </c>
      <c r="G114">
        <f>INDEX('Case Study II'!I11:L18, MATCH(B114, INDEX('Case Study II'!I11:L18,,1), 0), 2)</f>
        <v/>
      </c>
      <c r="H114">
        <f>INDEX('Case Study II'!I11:L18, MATCH(B114, INDEX('Case Study II'!I11:L18,,1), 0), 3)</f>
        <v/>
      </c>
      <c r="I114">
        <f>INDEX('Case Study II'!I11:L18, MATCH(B114, INDEX('Case Study II'!I11:L18,,1), 0), 4)</f>
        <v/>
      </c>
      <c r="J114" s="59">
        <f>C114*E114*I114</f>
        <v/>
      </c>
      <c r="K114" s="60">
        <f>J114*H114</f>
        <v/>
      </c>
      <c r="L114">
        <f>IF(D114='Interview',1,0)</f>
        <v/>
      </c>
      <c r="M114">
        <f>IF(O114&gt;F114,'Delayed','On time')</f>
        <v/>
      </c>
      <c r="N114" s="61">
        <f>IF(O114&gt;F114,O114-F114,0)</f>
        <v/>
      </c>
      <c r="O114">
        <f>DATE(2025,3,25)</f>
        <v/>
      </c>
    </row>
    <row r="115">
      <c r="A115">
        <f>'Case Study II'!B124</f>
        <v/>
      </c>
      <c r="B115">
        <f>'Case Study II'!I124</f>
        <v/>
      </c>
      <c r="C115">
        <f>'Case Study II'!D124</f>
        <v/>
      </c>
      <c r="D115">
        <f>'Case Study II'!E124</f>
        <v/>
      </c>
      <c r="E115">
        <f>'Case Study II'!F124</f>
        <v/>
      </c>
      <c r="F115">
        <f>'Case Study II'!G124</f>
        <v/>
      </c>
      <c r="G115">
        <f>INDEX('Case Study II'!I11:L18, MATCH(B115, INDEX('Case Study II'!I11:L18,,1), 0), 2)</f>
        <v/>
      </c>
      <c r="H115">
        <f>INDEX('Case Study II'!I11:L18, MATCH(B115, INDEX('Case Study II'!I11:L18,,1), 0), 3)</f>
        <v/>
      </c>
      <c r="I115">
        <f>INDEX('Case Study II'!I11:L18, MATCH(B115, INDEX('Case Study II'!I11:L18,,1), 0), 4)</f>
        <v/>
      </c>
      <c r="J115" s="59">
        <f>C115*E115*I115</f>
        <v/>
      </c>
      <c r="K115" s="60">
        <f>J115*H115</f>
        <v/>
      </c>
      <c r="L115">
        <f>IF(D115='Interview',1,0)</f>
        <v/>
      </c>
      <c r="M115">
        <f>IF(O115&gt;F115,'Delayed','On time')</f>
        <v/>
      </c>
      <c r="N115" s="61">
        <f>IF(O115&gt;F115,O115-F115,0)</f>
        <v/>
      </c>
      <c r="O115">
        <f>DATE(2025,3,25)</f>
        <v/>
      </c>
    </row>
    <row r="116">
      <c r="A116">
        <f>'Case Study II'!B125</f>
        <v/>
      </c>
      <c r="B116">
        <f>'Case Study II'!I125</f>
        <v/>
      </c>
      <c r="C116">
        <f>'Case Study II'!D125</f>
        <v/>
      </c>
      <c r="D116">
        <f>'Case Study II'!E125</f>
        <v/>
      </c>
      <c r="E116">
        <f>'Case Study II'!F125</f>
        <v/>
      </c>
      <c r="F116">
        <f>'Case Study II'!G125</f>
        <v/>
      </c>
      <c r="G116">
        <f>INDEX('Case Study II'!I11:L18, MATCH(B116, INDEX('Case Study II'!I11:L18,,1), 0), 2)</f>
        <v/>
      </c>
      <c r="H116">
        <f>INDEX('Case Study II'!I11:L18, MATCH(B116, INDEX('Case Study II'!I11:L18,,1), 0), 3)</f>
        <v/>
      </c>
      <c r="I116">
        <f>INDEX('Case Study II'!I11:L18, MATCH(B116, INDEX('Case Study II'!I11:L18,,1), 0), 4)</f>
        <v/>
      </c>
      <c r="J116" s="59">
        <f>C116*E116*I116</f>
        <v/>
      </c>
      <c r="K116" s="60">
        <f>J116*H116</f>
        <v/>
      </c>
      <c r="L116">
        <f>IF(D116='Interview',1,0)</f>
        <v/>
      </c>
      <c r="M116">
        <f>IF(O116&gt;F116,'Delayed','On time')</f>
        <v/>
      </c>
      <c r="N116" s="61">
        <f>IF(O116&gt;F116,O116-F116,0)</f>
        <v/>
      </c>
      <c r="O116">
        <f>DATE(2025,3,25)</f>
        <v/>
      </c>
    </row>
    <row r="117">
      <c r="A117">
        <f>'Case Study II'!B126</f>
        <v/>
      </c>
      <c r="B117">
        <f>'Case Study II'!I126</f>
        <v/>
      </c>
      <c r="C117">
        <f>'Case Study II'!D126</f>
        <v/>
      </c>
      <c r="D117">
        <f>'Case Study II'!E126</f>
        <v/>
      </c>
      <c r="E117">
        <f>'Case Study II'!F126</f>
        <v/>
      </c>
      <c r="F117">
        <f>'Case Study II'!G126</f>
        <v/>
      </c>
      <c r="G117">
        <f>INDEX('Case Study II'!I11:L18, MATCH(B117, INDEX('Case Study II'!I11:L18,,1), 0), 2)</f>
        <v/>
      </c>
      <c r="H117">
        <f>INDEX('Case Study II'!I11:L18, MATCH(B117, INDEX('Case Study II'!I11:L18,,1), 0), 3)</f>
        <v/>
      </c>
      <c r="I117">
        <f>INDEX('Case Study II'!I11:L18, MATCH(B117, INDEX('Case Study II'!I11:L18,,1), 0), 4)</f>
        <v/>
      </c>
      <c r="J117" s="59">
        <f>C117*E117*I117</f>
        <v/>
      </c>
      <c r="K117" s="60">
        <f>J117*H117</f>
        <v/>
      </c>
      <c r="L117">
        <f>IF(D117='Interview',1,0)</f>
        <v/>
      </c>
      <c r="M117">
        <f>IF(O117&gt;F117,'Delayed','On time')</f>
        <v/>
      </c>
      <c r="N117" s="61">
        <f>IF(O117&gt;F117,O117-F117,0)</f>
        <v/>
      </c>
      <c r="O117">
        <f>DATE(2025,3,25)</f>
        <v/>
      </c>
    </row>
    <row r="118">
      <c r="A118">
        <f>'Case Study II'!B127</f>
        <v/>
      </c>
      <c r="B118">
        <f>'Case Study II'!I127</f>
        <v/>
      </c>
      <c r="C118">
        <f>'Case Study II'!D127</f>
        <v/>
      </c>
      <c r="D118">
        <f>'Case Study II'!E127</f>
        <v/>
      </c>
      <c r="E118">
        <f>'Case Study II'!F127</f>
        <v/>
      </c>
      <c r="F118">
        <f>'Case Study II'!G127</f>
        <v/>
      </c>
      <c r="G118">
        <f>INDEX('Case Study II'!I11:L18, MATCH(B118, INDEX('Case Study II'!I11:L18,,1), 0), 2)</f>
        <v/>
      </c>
      <c r="H118">
        <f>INDEX('Case Study II'!I11:L18, MATCH(B118, INDEX('Case Study II'!I11:L18,,1), 0), 3)</f>
        <v/>
      </c>
      <c r="I118">
        <f>INDEX('Case Study II'!I11:L18, MATCH(B118, INDEX('Case Study II'!I11:L18,,1), 0), 4)</f>
        <v/>
      </c>
      <c r="J118" s="59">
        <f>C118*E118*I118</f>
        <v/>
      </c>
      <c r="K118" s="60">
        <f>J118*H118</f>
        <v/>
      </c>
      <c r="L118">
        <f>IF(D118='Interview',1,0)</f>
        <v/>
      </c>
      <c r="M118">
        <f>IF(O118&gt;F118,'Delayed','On time')</f>
        <v/>
      </c>
      <c r="N118" s="61">
        <f>IF(O118&gt;F118,O118-F118,0)</f>
        <v/>
      </c>
      <c r="O118">
        <f>DATE(2025,3,25)</f>
        <v/>
      </c>
    </row>
    <row r="119">
      <c r="A119">
        <f>'Case Study II'!B128</f>
        <v/>
      </c>
      <c r="B119">
        <f>'Case Study II'!I128</f>
        <v/>
      </c>
      <c r="C119">
        <f>'Case Study II'!D128</f>
        <v/>
      </c>
      <c r="D119">
        <f>'Case Study II'!E128</f>
        <v/>
      </c>
      <c r="E119">
        <f>'Case Study II'!F128</f>
        <v/>
      </c>
      <c r="F119">
        <f>'Case Study II'!G128</f>
        <v/>
      </c>
      <c r="G119">
        <f>INDEX('Case Study II'!I11:L18, MATCH(B119, INDEX('Case Study II'!I11:L18,,1), 0), 2)</f>
        <v/>
      </c>
      <c r="H119">
        <f>INDEX('Case Study II'!I11:L18, MATCH(B119, INDEX('Case Study II'!I11:L18,,1), 0), 3)</f>
        <v/>
      </c>
      <c r="I119">
        <f>INDEX('Case Study II'!I11:L18, MATCH(B119, INDEX('Case Study II'!I11:L18,,1), 0), 4)</f>
        <v/>
      </c>
      <c r="J119" s="59">
        <f>C119*E119*I119</f>
        <v/>
      </c>
      <c r="K119" s="60">
        <f>J119*H119</f>
        <v/>
      </c>
      <c r="L119">
        <f>IF(D119='Interview',1,0)</f>
        <v/>
      </c>
      <c r="M119">
        <f>IF(O119&gt;F119,'Delayed','On time')</f>
        <v/>
      </c>
      <c r="N119" s="61">
        <f>IF(O119&gt;F119,O119-F119,0)</f>
        <v/>
      </c>
      <c r="O119">
        <f>DATE(2025,3,25)</f>
        <v/>
      </c>
    </row>
    <row r="120">
      <c r="A120">
        <f>'Case Study II'!B129</f>
        <v/>
      </c>
      <c r="B120">
        <f>'Case Study II'!I129</f>
        <v/>
      </c>
      <c r="C120">
        <f>'Case Study II'!D129</f>
        <v/>
      </c>
      <c r="D120">
        <f>'Case Study II'!E129</f>
        <v/>
      </c>
      <c r="E120">
        <f>'Case Study II'!F129</f>
        <v/>
      </c>
      <c r="F120">
        <f>'Case Study II'!G129</f>
        <v/>
      </c>
      <c r="G120">
        <f>INDEX('Case Study II'!I11:L18, MATCH(B120, INDEX('Case Study II'!I11:L18,,1), 0), 2)</f>
        <v/>
      </c>
      <c r="H120">
        <f>INDEX('Case Study II'!I11:L18, MATCH(B120, INDEX('Case Study II'!I11:L18,,1), 0), 3)</f>
        <v/>
      </c>
      <c r="I120">
        <f>INDEX('Case Study II'!I11:L18, MATCH(B120, INDEX('Case Study II'!I11:L18,,1), 0), 4)</f>
        <v/>
      </c>
      <c r="J120" s="59">
        <f>C120*E120*I120</f>
        <v/>
      </c>
      <c r="K120" s="60">
        <f>J120*H120</f>
        <v/>
      </c>
      <c r="L120">
        <f>IF(D120='Interview',1,0)</f>
        <v/>
      </c>
      <c r="M120">
        <f>IF(O120&gt;F120,'Delayed','On time')</f>
        <v/>
      </c>
      <c r="N120" s="61">
        <f>IF(O120&gt;F120,O120-F120,0)</f>
        <v/>
      </c>
      <c r="O120">
        <f>DATE(2025,3,25)</f>
        <v/>
      </c>
    </row>
    <row r="121">
      <c r="A121">
        <f>'Case Study II'!B130</f>
        <v/>
      </c>
      <c r="B121">
        <f>'Case Study II'!I130</f>
        <v/>
      </c>
      <c r="C121">
        <f>'Case Study II'!D130</f>
        <v/>
      </c>
      <c r="D121">
        <f>'Case Study II'!E130</f>
        <v/>
      </c>
      <c r="E121">
        <f>'Case Study II'!F130</f>
        <v/>
      </c>
      <c r="F121">
        <f>'Case Study II'!G130</f>
        <v/>
      </c>
      <c r="G121">
        <f>INDEX('Case Study II'!I11:L18, MATCH(B121, INDEX('Case Study II'!I11:L18,,1), 0), 2)</f>
        <v/>
      </c>
      <c r="H121">
        <f>INDEX('Case Study II'!I11:L18, MATCH(B121, INDEX('Case Study II'!I11:L18,,1), 0), 3)</f>
        <v/>
      </c>
      <c r="I121">
        <f>INDEX('Case Study II'!I11:L18, MATCH(B121, INDEX('Case Study II'!I11:L18,,1), 0), 4)</f>
        <v/>
      </c>
      <c r="J121" s="59">
        <f>C121*E121*I121</f>
        <v/>
      </c>
      <c r="K121" s="60">
        <f>J121*H121</f>
        <v/>
      </c>
      <c r="L121">
        <f>IF(D121='Interview',1,0)</f>
        <v/>
      </c>
      <c r="M121">
        <f>IF(O121&gt;F121,'Delayed','On time')</f>
        <v/>
      </c>
      <c r="N121" s="61">
        <f>IF(O121&gt;F121,O121-F121,0)</f>
        <v/>
      </c>
      <c r="O121">
        <f>DATE(2025,3,25)</f>
        <v/>
      </c>
    </row>
    <row r="122">
      <c r="A122">
        <f>'Case Study II'!B131</f>
        <v/>
      </c>
      <c r="B122">
        <f>'Case Study II'!I131</f>
        <v/>
      </c>
      <c r="C122">
        <f>'Case Study II'!D131</f>
        <v/>
      </c>
      <c r="D122">
        <f>'Case Study II'!E131</f>
        <v/>
      </c>
      <c r="E122">
        <f>'Case Study II'!F131</f>
        <v/>
      </c>
      <c r="F122">
        <f>'Case Study II'!G131</f>
        <v/>
      </c>
      <c r="G122">
        <f>INDEX('Case Study II'!I11:L18, MATCH(B122, INDEX('Case Study II'!I11:L18,,1), 0), 2)</f>
        <v/>
      </c>
      <c r="H122">
        <f>INDEX('Case Study II'!I11:L18, MATCH(B122, INDEX('Case Study II'!I11:L18,,1), 0), 3)</f>
        <v/>
      </c>
      <c r="I122">
        <f>INDEX('Case Study II'!I11:L18, MATCH(B122, INDEX('Case Study II'!I11:L18,,1), 0), 4)</f>
        <v/>
      </c>
      <c r="J122" s="59">
        <f>C122*E122*I122</f>
        <v/>
      </c>
      <c r="K122" s="60">
        <f>J122*H122</f>
        <v/>
      </c>
      <c r="L122">
        <f>IF(D122='Interview',1,0)</f>
        <v/>
      </c>
      <c r="M122">
        <f>IF(O122&gt;F122,'Delayed','On time')</f>
        <v/>
      </c>
      <c r="N122" s="61">
        <f>IF(O122&gt;F122,O122-F122,0)</f>
        <v/>
      </c>
      <c r="O122">
        <f>DATE(2025,3,25)</f>
        <v/>
      </c>
    </row>
    <row r="123">
      <c r="A123">
        <f>'Case Study II'!B132</f>
        <v/>
      </c>
      <c r="B123">
        <f>'Case Study II'!I132</f>
        <v/>
      </c>
      <c r="C123">
        <f>'Case Study II'!D132</f>
        <v/>
      </c>
      <c r="D123">
        <f>'Case Study II'!E132</f>
        <v/>
      </c>
      <c r="E123">
        <f>'Case Study II'!F132</f>
        <v/>
      </c>
      <c r="F123">
        <f>'Case Study II'!G132</f>
        <v/>
      </c>
      <c r="G123">
        <f>INDEX('Case Study II'!I11:L18, MATCH(B123, INDEX('Case Study II'!I11:L18,,1), 0), 2)</f>
        <v/>
      </c>
      <c r="H123">
        <f>INDEX('Case Study II'!I11:L18, MATCH(B123, INDEX('Case Study II'!I11:L18,,1), 0), 3)</f>
        <v/>
      </c>
      <c r="I123">
        <f>INDEX('Case Study II'!I11:L18, MATCH(B123, INDEX('Case Study II'!I11:L18,,1), 0), 4)</f>
        <v/>
      </c>
      <c r="J123" s="59">
        <f>C123*E123*I123</f>
        <v/>
      </c>
      <c r="K123" s="60">
        <f>J123*H123</f>
        <v/>
      </c>
      <c r="L123">
        <f>IF(D123='Interview',1,0)</f>
        <v/>
      </c>
      <c r="M123">
        <f>IF(O123&gt;F123,'Delayed','On time')</f>
        <v/>
      </c>
      <c r="N123" s="61">
        <f>IF(O123&gt;F123,O123-F123,0)</f>
        <v/>
      </c>
      <c r="O123">
        <f>DATE(2025,3,25)</f>
        <v/>
      </c>
    </row>
    <row r="124">
      <c r="A124">
        <f>'Case Study II'!B133</f>
        <v/>
      </c>
      <c r="B124">
        <f>'Case Study II'!I133</f>
        <v/>
      </c>
      <c r="C124">
        <f>'Case Study II'!D133</f>
        <v/>
      </c>
      <c r="D124">
        <f>'Case Study II'!E133</f>
        <v/>
      </c>
      <c r="E124">
        <f>'Case Study II'!F133</f>
        <v/>
      </c>
      <c r="F124">
        <f>'Case Study II'!G133</f>
        <v/>
      </c>
      <c r="G124">
        <f>INDEX('Case Study II'!I11:L18, MATCH(B124, INDEX('Case Study II'!I11:L18,,1), 0), 2)</f>
        <v/>
      </c>
      <c r="H124">
        <f>INDEX('Case Study II'!I11:L18, MATCH(B124, INDEX('Case Study II'!I11:L18,,1), 0), 3)</f>
        <v/>
      </c>
      <c r="I124">
        <f>INDEX('Case Study II'!I11:L18, MATCH(B124, INDEX('Case Study II'!I11:L18,,1), 0), 4)</f>
        <v/>
      </c>
      <c r="J124" s="59">
        <f>C124*E124*I124</f>
        <v/>
      </c>
      <c r="K124" s="60">
        <f>J124*H124</f>
        <v/>
      </c>
      <c r="L124">
        <f>IF(D124='Interview',1,0)</f>
        <v/>
      </c>
      <c r="M124">
        <f>IF(O124&gt;F124,'Delayed','On time')</f>
        <v/>
      </c>
      <c r="N124" s="61">
        <f>IF(O124&gt;F124,O124-F124,0)</f>
        <v/>
      </c>
      <c r="O124">
        <f>DATE(2025,3,25)</f>
        <v/>
      </c>
    </row>
    <row r="125">
      <c r="A125">
        <f>'Case Study II'!B134</f>
        <v/>
      </c>
      <c r="B125">
        <f>'Case Study II'!I134</f>
        <v/>
      </c>
      <c r="C125">
        <f>'Case Study II'!D134</f>
        <v/>
      </c>
      <c r="D125">
        <f>'Case Study II'!E134</f>
        <v/>
      </c>
      <c r="E125">
        <f>'Case Study II'!F134</f>
        <v/>
      </c>
      <c r="F125">
        <f>'Case Study II'!G134</f>
        <v/>
      </c>
      <c r="G125">
        <f>INDEX('Case Study II'!I11:L18, MATCH(B125, INDEX('Case Study II'!I11:L18,,1), 0), 2)</f>
        <v/>
      </c>
      <c r="H125">
        <f>INDEX('Case Study II'!I11:L18, MATCH(B125, INDEX('Case Study II'!I11:L18,,1), 0), 3)</f>
        <v/>
      </c>
      <c r="I125">
        <f>INDEX('Case Study II'!I11:L18, MATCH(B125, INDEX('Case Study II'!I11:L18,,1), 0), 4)</f>
        <v/>
      </c>
      <c r="J125" s="59">
        <f>C125*E125*I125</f>
        <v/>
      </c>
      <c r="K125" s="60">
        <f>J125*H125</f>
        <v/>
      </c>
      <c r="L125">
        <f>IF(D125='Interview',1,0)</f>
        <v/>
      </c>
      <c r="M125">
        <f>IF(O125&gt;F125,'Delayed','On time')</f>
        <v/>
      </c>
      <c r="N125" s="61">
        <f>IF(O125&gt;F125,O125-F125,0)</f>
        <v/>
      </c>
      <c r="O125">
        <f>DATE(2025,3,25)</f>
        <v/>
      </c>
    </row>
    <row r="126">
      <c r="A126">
        <f>'Case Study II'!B135</f>
        <v/>
      </c>
      <c r="B126">
        <f>'Case Study II'!I135</f>
        <v/>
      </c>
      <c r="C126">
        <f>'Case Study II'!D135</f>
        <v/>
      </c>
      <c r="D126">
        <f>'Case Study II'!E135</f>
        <v/>
      </c>
      <c r="E126">
        <f>'Case Study II'!F135</f>
        <v/>
      </c>
      <c r="F126">
        <f>'Case Study II'!G135</f>
        <v/>
      </c>
      <c r="G126">
        <f>INDEX('Case Study II'!I11:L18, MATCH(B126, INDEX('Case Study II'!I11:L18,,1), 0), 2)</f>
        <v/>
      </c>
      <c r="H126">
        <f>INDEX('Case Study II'!I11:L18, MATCH(B126, INDEX('Case Study II'!I11:L18,,1), 0), 3)</f>
        <v/>
      </c>
      <c r="I126">
        <f>INDEX('Case Study II'!I11:L18, MATCH(B126, INDEX('Case Study II'!I11:L18,,1), 0), 4)</f>
        <v/>
      </c>
      <c r="J126" s="59">
        <f>C126*E126*I126</f>
        <v/>
      </c>
      <c r="K126" s="60">
        <f>J126*H126</f>
        <v/>
      </c>
      <c r="L126">
        <f>IF(D126='Interview',1,0)</f>
        <v/>
      </c>
      <c r="M126">
        <f>IF(O126&gt;F126,'Delayed','On time')</f>
        <v/>
      </c>
      <c r="N126" s="61">
        <f>IF(O126&gt;F126,O126-F126,0)</f>
        <v/>
      </c>
      <c r="O126">
        <f>DATE(2025,3,25)</f>
        <v/>
      </c>
    </row>
    <row r="127">
      <c r="A127">
        <f>'Case Study II'!B136</f>
        <v/>
      </c>
      <c r="B127">
        <f>'Case Study II'!I136</f>
        <v/>
      </c>
      <c r="C127">
        <f>'Case Study II'!D136</f>
        <v/>
      </c>
      <c r="D127">
        <f>'Case Study II'!E136</f>
        <v/>
      </c>
      <c r="E127">
        <f>'Case Study II'!F136</f>
        <v/>
      </c>
      <c r="F127">
        <f>'Case Study II'!G136</f>
        <v/>
      </c>
      <c r="G127">
        <f>INDEX('Case Study II'!I11:L18, MATCH(B127, INDEX('Case Study II'!I11:L18,,1), 0), 2)</f>
        <v/>
      </c>
      <c r="H127">
        <f>INDEX('Case Study II'!I11:L18, MATCH(B127, INDEX('Case Study II'!I11:L18,,1), 0), 3)</f>
        <v/>
      </c>
      <c r="I127">
        <f>INDEX('Case Study II'!I11:L18, MATCH(B127, INDEX('Case Study II'!I11:L18,,1), 0), 4)</f>
        <v/>
      </c>
      <c r="J127" s="59">
        <f>C127*E127*I127</f>
        <v/>
      </c>
      <c r="K127" s="60">
        <f>J127*H127</f>
        <v/>
      </c>
      <c r="L127">
        <f>IF(D127='Interview',1,0)</f>
        <v/>
      </c>
      <c r="M127">
        <f>IF(O127&gt;F127,'Delayed','On time')</f>
        <v/>
      </c>
      <c r="N127" s="61">
        <f>IF(O127&gt;F127,O127-F127,0)</f>
        <v/>
      </c>
      <c r="O127">
        <f>DATE(2025,3,25)</f>
        <v/>
      </c>
    </row>
    <row r="128">
      <c r="A128">
        <f>'Case Study II'!B137</f>
        <v/>
      </c>
      <c r="B128">
        <f>'Case Study II'!I137</f>
        <v/>
      </c>
      <c r="C128">
        <f>'Case Study II'!D137</f>
        <v/>
      </c>
      <c r="D128">
        <f>'Case Study II'!E137</f>
        <v/>
      </c>
      <c r="E128">
        <f>'Case Study II'!F137</f>
        <v/>
      </c>
      <c r="F128">
        <f>'Case Study II'!G137</f>
        <v/>
      </c>
      <c r="G128">
        <f>INDEX('Case Study II'!I11:L18, MATCH(B128, INDEX('Case Study II'!I11:L18,,1), 0), 2)</f>
        <v/>
      </c>
      <c r="H128">
        <f>INDEX('Case Study II'!I11:L18, MATCH(B128, INDEX('Case Study II'!I11:L18,,1), 0), 3)</f>
        <v/>
      </c>
      <c r="I128">
        <f>INDEX('Case Study II'!I11:L18, MATCH(B128, INDEX('Case Study II'!I11:L18,,1), 0), 4)</f>
        <v/>
      </c>
      <c r="J128" s="59">
        <f>C128*E128*I128</f>
        <v/>
      </c>
      <c r="K128" s="60">
        <f>J128*H128</f>
        <v/>
      </c>
      <c r="L128">
        <f>IF(D128='Interview',1,0)</f>
        <v/>
      </c>
      <c r="M128">
        <f>IF(O128&gt;F128,'Delayed','On time')</f>
        <v/>
      </c>
      <c r="N128" s="61">
        <f>IF(O128&gt;F128,O128-F128,0)</f>
        <v/>
      </c>
      <c r="O128">
        <f>DATE(2025,3,25)</f>
        <v/>
      </c>
    </row>
    <row r="129">
      <c r="A129">
        <f>'Case Study II'!B138</f>
        <v/>
      </c>
      <c r="B129">
        <f>'Case Study II'!I138</f>
        <v/>
      </c>
      <c r="C129">
        <f>'Case Study II'!D138</f>
        <v/>
      </c>
      <c r="D129">
        <f>'Case Study II'!E138</f>
        <v/>
      </c>
      <c r="E129">
        <f>'Case Study II'!F138</f>
        <v/>
      </c>
      <c r="F129">
        <f>'Case Study II'!G138</f>
        <v/>
      </c>
      <c r="G129">
        <f>INDEX('Case Study II'!I11:L18, MATCH(B129, INDEX('Case Study II'!I11:L18,,1), 0), 2)</f>
        <v/>
      </c>
      <c r="H129">
        <f>INDEX('Case Study II'!I11:L18, MATCH(B129, INDEX('Case Study II'!I11:L18,,1), 0), 3)</f>
        <v/>
      </c>
      <c r="I129">
        <f>INDEX('Case Study II'!I11:L18, MATCH(B129, INDEX('Case Study II'!I11:L18,,1), 0), 4)</f>
        <v/>
      </c>
      <c r="J129" s="59">
        <f>C129*E129*I129</f>
        <v/>
      </c>
      <c r="K129" s="60">
        <f>J129*H129</f>
        <v/>
      </c>
      <c r="L129">
        <f>IF(D129='Interview',1,0)</f>
        <v/>
      </c>
      <c r="M129">
        <f>IF(O129&gt;F129,'Delayed','On time')</f>
        <v/>
      </c>
      <c r="N129" s="61">
        <f>IF(O129&gt;F129,O129-F129,0)</f>
        <v/>
      </c>
      <c r="O129">
        <f>DATE(2025,3,25)</f>
        <v/>
      </c>
    </row>
    <row r="130">
      <c r="A130">
        <f>'Case Study II'!B139</f>
        <v/>
      </c>
      <c r="B130">
        <f>'Case Study II'!I139</f>
        <v/>
      </c>
      <c r="C130">
        <f>'Case Study II'!D139</f>
        <v/>
      </c>
      <c r="D130">
        <f>'Case Study II'!E139</f>
        <v/>
      </c>
      <c r="E130">
        <f>'Case Study II'!F139</f>
        <v/>
      </c>
      <c r="F130">
        <f>'Case Study II'!G139</f>
        <v/>
      </c>
      <c r="G130">
        <f>INDEX('Case Study II'!I11:L18, MATCH(B130, INDEX('Case Study II'!I11:L18,,1), 0), 2)</f>
        <v/>
      </c>
      <c r="H130">
        <f>INDEX('Case Study II'!I11:L18, MATCH(B130, INDEX('Case Study II'!I11:L18,,1), 0), 3)</f>
        <v/>
      </c>
      <c r="I130">
        <f>INDEX('Case Study II'!I11:L18, MATCH(B130, INDEX('Case Study II'!I11:L18,,1), 0), 4)</f>
        <v/>
      </c>
      <c r="J130" s="59">
        <f>C130*E130*I130</f>
        <v/>
      </c>
      <c r="K130" s="60">
        <f>J130*H130</f>
        <v/>
      </c>
      <c r="L130">
        <f>IF(D130='Interview',1,0)</f>
        <v/>
      </c>
      <c r="M130">
        <f>IF(O130&gt;F130,'Delayed','On time')</f>
        <v/>
      </c>
      <c r="N130" s="61">
        <f>IF(O130&gt;F130,O130-F130,0)</f>
        <v/>
      </c>
      <c r="O130">
        <f>DATE(2025,3,25)</f>
        <v/>
      </c>
    </row>
    <row r="131">
      <c r="A131">
        <f>'Case Study II'!B140</f>
        <v/>
      </c>
      <c r="B131">
        <f>'Case Study II'!I140</f>
        <v/>
      </c>
      <c r="C131">
        <f>'Case Study II'!D140</f>
        <v/>
      </c>
      <c r="D131">
        <f>'Case Study II'!E140</f>
        <v/>
      </c>
      <c r="E131">
        <f>'Case Study II'!F140</f>
        <v/>
      </c>
      <c r="F131">
        <f>'Case Study II'!G140</f>
        <v/>
      </c>
      <c r="G131">
        <f>INDEX('Case Study II'!I11:L18, MATCH(B131, INDEX('Case Study II'!I11:L18,,1), 0), 2)</f>
        <v/>
      </c>
      <c r="H131">
        <f>INDEX('Case Study II'!I11:L18, MATCH(B131, INDEX('Case Study II'!I11:L18,,1), 0), 3)</f>
        <v/>
      </c>
      <c r="I131">
        <f>INDEX('Case Study II'!I11:L18, MATCH(B131, INDEX('Case Study II'!I11:L18,,1), 0), 4)</f>
        <v/>
      </c>
      <c r="J131" s="59">
        <f>C131*E131*I131</f>
        <v/>
      </c>
      <c r="K131" s="60">
        <f>J131*H131</f>
        <v/>
      </c>
      <c r="L131">
        <f>IF(D131='Interview',1,0)</f>
        <v/>
      </c>
      <c r="M131">
        <f>IF(O131&gt;F131,'Delayed','On time')</f>
        <v/>
      </c>
      <c r="N131" s="61">
        <f>IF(O131&gt;F131,O131-F131,0)</f>
        <v/>
      </c>
      <c r="O131">
        <f>DATE(2025,3,25)</f>
        <v/>
      </c>
    </row>
    <row r="132">
      <c r="A132">
        <f>'Case Study II'!B141</f>
        <v/>
      </c>
      <c r="B132">
        <f>'Case Study II'!I141</f>
        <v/>
      </c>
      <c r="C132">
        <f>'Case Study II'!D141</f>
        <v/>
      </c>
      <c r="D132">
        <f>'Case Study II'!E141</f>
        <v/>
      </c>
      <c r="E132">
        <f>'Case Study II'!F141</f>
        <v/>
      </c>
      <c r="F132">
        <f>'Case Study II'!G141</f>
        <v/>
      </c>
      <c r="G132">
        <f>INDEX('Case Study II'!I11:L18, MATCH(B132, INDEX('Case Study II'!I11:L18,,1), 0), 2)</f>
        <v/>
      </c>
      <c r="H132">
        <f>INDEX('Case Study II'!I11:L18, MATCH(B132, INDEX('Case Study II'!I11:L18,,1), 0), 3)</f>
        <v/>
      </c>
      <c r="I132">
        <f>INDEX('Case Study II'!I11:L18, MATCH(B132, INDEX('Case Study II'!I11:L18,,1), 0), 4)</f>
        <v/>
      </c>
      <c r="J132" s="59">
        <f>C132*E132*I132</f>
        <v/>
      </c>
      <c r="K132" s="60">
        <f>J132*H132</f>
        <v/>
      </c>
      <c r="L132">
        <f>IF(D132='Interview',1,0)</f>
        <v/>
      </c>
      <c r="M132">
        <f>IF(O132&gt;F132,'Delayed','On time')</f>
        <v/>
      </c>
      <c r="N132" s="61">
        <f>IF(O132&gt;F132,O132-F132,0)</f>
        <v/>
      </c>
      <c r="O132">
        <f>DATE(2025,3,25)</f>
        <v/>
      </c>
    </row>
    <row r="133">
      <c r="A133">
        <f>'Case Study II'!B142</f>
        <v/>
      </c>
      <c r="B133">
        <f>'Case Study II'!I142</f>
        <v/>
      </c>
      <c r="C133">
        <f>'Case Study II'!D142</f>
        <v/>
      </c>
      <c r="D133">
        <f>'Case Study II'!E142</f>
        <v/>
      </c>
      <c r="E133">
        <f>'Case Study II'!F142</f>
        <v/>
      </c>
      <c r="F133">
        <f>'Case Study II'!G142</f>
        <v/>
      </c>
      <c r="G133">
        <f>INDEX('Case Study II'!I11:L18, MATCH(B133, INDEX('Case Study II'!I11:L18,,1), 0), 2)</f>
        <v/>
      </c>
      <c r="H133">
        <f>INDEX('Case Study II'!I11:L18, MATCH(B133, INDEX('Case Study II'!I11:L18,,1), 0), 3)</f>
        <v/>
      </c>
      <c r="I133">
        <f>INDEX('Case Study II'!I11:L18, MATCH(B133, INDEX('Case Study II'!I11:L18,,1), 0), 4)</f>
        <v/>
      </c>
      <c r="J133" s="59">
        <f>C133*E133*I133</f>
        <v/>
      </c>
      <c r="K133" s="60">
        <f>J133*H133</f>
        <v/>
      </c>
      <c r="L133">
        <f>IF(D133='Interview',1,0)</f>
        <v/>
      </c>
      <c r="M133">
        <f>IF(O133&gt;F133,'Delayed','On time')</f>
        <v/>
      </c>
      <c r="N133" s="61">
        <f>IF(O133&gt;F133,O133-F133,0)</f>
        <v/>
      </c>
      <c r="O133">
        <f>DATE(2025,3,25)</f>
        <v/>
      </c>
    </row>
    <row r="134">
      <c r="A134">
        <f>'Case Study II'!B143</f>
        <v/>
      </c>
      <c r="B134">
        <f>'Case Study II'!I143</f>
        <v/>
      </c>
      <c r="C134">
        <f>'Case Study II'!D143</f>
        <v/>
      </c>
      <c r="D134">
        <f>'Case Study II'!E143</f>
        <v/>
      </c>
      <c r="E134">
        <f>'Case Study II'!F143</f>
        <v/>
      </c>
      <c r="F134">
        <f>'Case Study II'!G143</f>
        <v/>
      </c>
      <c r="G134">
        <f>INDEX('Case Study II'!I11:L18, MATCH(B134, INDEX('Case Study II'!I11:L18,,1), 0), 2)</f>
        <v/>
      </c>
      <c r="H134">
        <f>INDEX('Case Study II'!I11:L18, MATCH(B134, INDEX('Case Study II'!I11:L18,,1), 0), 3)</f>
        <v/>
      </c>
      <c r="I134">
        <f>INDEX('Case Study II'!I11:L18, MATCH(B134, INDEX('Case Study II'!I11:L18,,1), 0), 4)</f>
        <v/>
      </c>
      <c r="J134" s="59">
        <f>C134*E134*I134</f>
        <v/>
      </c>
      <c r="K134" s="60">
        <f>J134*H134</f>
        <v/>
      </c>
      <c r="L134">
        <f>IF(D134='Interview',1,0)</f>
        <v/>
      </c>
      <c r="M134">
        <f>IF(O134&gt;F134,'Delayed','On time')</f>
        <v/>
      </c>
      <c r="N134" s="61">
        <f>IF(O134&gt;F134,O134-F134,0)</f>
        <v/>
      </c>
      <c r="O134">
        <f>DATE(2025,3,25)</f>
        <v/>
      </c>
    </row>
    <row r="135">
      <c r="A135">
        <f>'Case Study II'!B144</f>
        <v/>
      </c>
      <c r="B135">
        <f>'Case Study II'!I144</f>
        <v/>
      </c>
      <c r="C135">
        <f>'Case Study II'!D144</f>
        <v/>
      </c>
      <c r="D135">
        <f>'Case Study II'!E144</f>
        <v/>
      </c>
      <c r="E135">
        <f>'Case Study II'!F144</f>
        <v/>
      </c>
      <c r="F135">
        <f>'Case Study II'!G144</f>
        <v/>
      </c>
      <c r="G135">
        <f>INDEX('Case Study II'!I11:L18, MATCH(B135, INDEX('Case Study II'!I11:L18,,1), 0), 2)</f>
        <v/>
      </c>
      <c r="H135">
        <f>INDEX('Case Study II'!I11:L18, MATCH(B135, INDEX('Case Study II'!I11:L18,,1), 0), 3)</f>
        <v/>
      </c>
      <c r="I135">
        <f>INDEX('Case Study II'!I11:L18, MATCH(B135, INDEX('Case Study II'!I11:L18,,1), 0), 4)</f>
        <v/>
      </c>
      <c r="J135" s="59">
        <f>C135*E135*I135</f>
        <v/>
      </c>
      <c r="K135" s="60">
        <f>J135*H135</f>
        <v/>
      </c>
      <c r="L135">
        <f>IF(D135='Interview',1,0)</f>
        <v/>
      </c>
      <c r="M135">
        <f>IF(O135&gt;F135,'Delayed','On time')</f>
        <v/>
      </c>
      <c r="N135" s="61">
        <f>IF(O135&gt;F135,O135-F135,0)</f>
        <v/>
      </c>
      <c r="O135">
        <f>DATE(2025,3,25)</f>
        <v/>
      </c>
    </row>
    <row r="136">
      <c r="A136">
        <f>'Case Study II'!B145</f>
        <v/>
      </c>
      <c r="B136">
        <f>'Case Study II'!I145</f>
        <v/>
      </c>
      <c r="C136">
        <f>'Case Study II'!D145</f>
        <v/>
      </c>
      <c r="D136">
        <f>'Case Study II'!E145</f>
        <v/>
      </c>
      <c r="E136">
        <f>'Case Study II'!F145</f>
        <v/>
      </c>
      <c r="F136">
        <f>'Case Study II'!G145</f>
        <v/>
      </c>
      <c r="G136">
        <f>INDEX('Case Study II'!I11:L18, MATCH(B136, INDEX('Case Study II'!I11:L18,,1), 0), 2)</f>
        <v/>
      </c>
      <c r="H136">
        <f>INDEX('Case Study II'!I11:L18, MATCH(B136, INDEX('Case Study II'!I11:L18,,1), 0), 3)</f>
        <v/>
      </c>
      <c r="I136">
        <f>INDEX('Case Study II'!I11:L18, MATCH(B136, INDEX('Case Study II'!I11:L18,,1), 0), 4)</f>
        <v/>
      </c>
      <c r="J136" s="59">
        <f>C136*E136*I136</f>
        <v/>
      </c>
      <c r="K136" s="60">
        <f>J136*H136</f>
        <v/>
      </c>
      <c r="L136">
        <f>IF(D136='Interview',1,0)</f>
        <v/>
      </c>
      <c r="M136">
        <f>IF(O136&gt;F136,'Delayed','On time')</f>
        <v/>
      </c>
      <c r="N136" s="61">
        <f>IF(O136&gt;F136,O136-F136,0)</f>
        <v/>
      </c>
      <c r="O136">
        <f>DATE(2025,3,25)</f>
        <v/>
      </c>
    </row>
    <row r="137">
      <c r="A137">
        <f>'Case Study II'!B146</f>
        <v/>
      </c>
      <c r="B137">
        <f>'Case Study II'!I146</f>
        <v/>
      </c>
      <c r="C137">
        <f>'Case Study II'!D146</f>
        <v/>
      </c>
      <c r="D137">
        <f>'Case Study II'!E146</f>
        <v/>
      </c>
      <c r="E137">
        <f>'Case Study II'!F146</f>
        <v/>
      </c>
      <c r="F137">
        <f>'Case Study II'!G146</f>
        <v/>
      </c>
      <c r="G137">
        <f>INDEX('Case Study II'!I11:L18, MATCH(B137, INDEX('Case Study II'!I11:L18,,1), 0), 2)</f>
        <v/>
      </c>
      <c r="H137">
        <f>INDEX('Case Study II'!I11:L18, MATCH(B137, INDEX('Case Study II'!I11:L18,,1), 0), 3)</f>
        <v/>
      </c>
      <c r="I137">
        <f>INDEX('Case Study II'!I11:L18, MATCH(B137, INDEX('Case Study II'!I11:L18,,1), 0), 4)</f>
        <v/>
      </c>
      <c r="J137" s="59">
        <f>C137*E137*I137</f>
        <v/>
      </c>
      <c r="K137" s="60">
        <f>J137*H137</f>
        <v/>
      </c>
      <c r="L137">
        <f>IF(D137='Interview',1,0)</f>
        <v/>
      </c>
      <c r="M137">
        <f>IF(O137&gt;F137,'Delayed','On time')</f>
        <v/>
      </c>
      <c r="N137" s="61">
        <f>IF(O137&gt;F137,O137-F137,0)</f>
        <v/>
      </c>
      <c r="O137">
        <f>DATE(2025,3,25)</f>
        <v/>
      </c>
    </row>
    <row r="138">
      <c r="A138">
        <f>'Case Study II'!B147</f>
        <v/>
      </c>
      <c r="B138">
        <f>'Case Study II'!I147</f>
        <v/>
      </c>
      <c r="C138">
        <f>'Case Study II'!D147</f>
        <v/>
      </c>
      <c r="D138">
        <f>'Case Study II'!E147</f>
        <v/>
      </c>
      <c r="E138">
        <f>'Case Study II'!F147</f>
        <v/>
      </c>
      <c r="F138">
        <f>'Case Study II'!G147</f>
        <v/>
      </c>
      <c r="G138">
        <f>INDEX('Case Study II'!I11:L18, MATCH(B138, INDEX('Case Study II'!I11:L18,,1), 0), 2)</f>
        <v/>
      </c>
      <c r="H138">
        <f>INDEX('Case Study II'!I11:L18, MATCH(B138, INDEX('Case Study II'!I11:L18,,1), 0), 3)</f>
        <v/>
      </c>
      <c r="I138">
        <f>INDEX('Case Study II'!I11:L18, MATCH(B138, INDEX('Case Study II'!I11:L18,,1), 0), 4)</f>
        <v/>
      </c>
      <c r="J138" s="59">
        <f>C138*E138*I138</f>
        <v/>
      </c>
      <c r="K138" s="60">
        <f>J138*H138</f>
        <v/>
      </c>
      <c r="L138">
        <f>IF(D138='Interview',1,0)</f>
        <v/>
      </c>
      <c r="M138">
        <f>IF(O138&gt;F138,'Delayed','On time')</f>
        <v/>
      </c>
      <c r="N138" s="61">
        <f>IF(O138&gt;F138,O138-F138,0)</f>
        <v/>
      </c>
      <c r="O138">
        <f>DATE(2025,3,25)</f>
        <v/>
      </c>
    </row>
    <row r="139">
      <c r="A139">
        <f>'Case Study II'!B148</f>
        <v/>
      </c>
      <c r="B139">
        <f>'Case Study II'!I148</f>
        <v/>
      </c>
      <c r="C139">
        <f>'Case Study II'!D148</f>
        <v/>
      </c>
      <c r="D139">
        <f>'Case Study II'!E148</f>
        <v/>
      </c>
      <c r="E139">
        <f>'Case Study II'!F148</f>
        <v/>
      </c>
      <c r="F139">
        <f>'Case Study II'!G148</f>
        <v/>
      </c>
      <c r="G139">
        <f>INDEX('Case Study II'!I11:L18, MATCH(B139, INDEX('Case Study II'!I11:L18,,1), 0), 2)</f>
        <v/>
      </c>
      <c r="H139">
        <f>INDEX('Case Study II'!I11:L18, MATCH(B139, INDEX('Case Study II'!I11:L18,,1), 0), 3)</f>
        <v/>
      </c>
      <c r="I139">
        <f>INDEX('Case Study II'!I11:L18, MATCH(B139, INDEX('Case Study II'!I11:L18,,1), 0), 4)</f>
        <v/>
      </c>
      <c r="J139" s="59">
        <f>C139*E139*I139</f>
        <v/>
      </c>
      <c r="K139" s="60">
        <f>J139*H139</f>
        <v/>
      </c>
      <c r="L139">
        <f>IF(D139='Interview',1,0)</f>
        <v/>
      </c>
      <c r="M139">
        <f>IF(O139&gt;F139,'Delayed','On time')</f>
        <v/>
      </c>
      <c r="N139" s="61">
        <f>IF(O139&gt;F139,O139-F139,0)</f>
        <v/>
      </c>
      <c r="O139">
        <f>DATE(2025,3,25)</f>
        <v/>
      </c>
    </row>
    <row r="140">
      <c r="A140">
        <f>'Case Study II'!B149</f>
        <v/>
      </c>
      <c r="B140">
        <f>'Case Study II'!I149</f>
        <v/>
      </c>
      <c r="C140">
        <f>'Case Study II'!D149</f>
        <v/>
      </c>
      <c r="D140">
        <f>'Case Study II'!E149</f>
        <v/>
      </c>
      <c r="E140">
        <f>'Case Study II'!F149</f>
        <v/>
      </c>
      <c r="F140">
        <f>'Case Study II'!G149</f>
        <v/>
      </c>
      <c r="G140">
        <f>INDEX('Case Study II'!I11:L18, MATCH(B140, INDEX('Case Study II'!I11:L18,,1), 0), 2)</f>
        <v/>
      </c>
      <c r="H140">
        <f>INDEX('Case Study II'!I11:L18, MATCH(B140, INDEX('Case Study II'!I11:L18,,1), 0), 3)</f>
        <v/>
      </c>
      <c r="I140">
        <f>INDEX('Case Study II'!I11:L18, MATCH(B140, INDEX('Case Study II'!I11:L18,,1), 0), 4)</f>
        <v/>
      </c>
      <c r="J140" s="59">
        <f>C140*E140*I140</f>
        <v/>
      </c>
      <c r="K140" s="60">
        <f>J140*H140</f>
        <v/>
      </c>
      <c r="L140">
        <f>IF(D140='Interview',1,0)</f>
        <v/>
      </c>
      <c r="M140">
        <f>IF(O140&gt;F140,'Delayed','On time')</f>
        <v/>
      </c>
      <c r="N140" s="61">
        <f>IF(O140&gt;F140,O140-F140,0)</f>
        <v/>
      </c>
      <c r="O140">
        <f>DATE(2025,3,25)</f>
        <v/>
      </c>
    </row>
    <row r="141">
      <c r="A141">
        <f>'Case Study II'!B150</f>
        <v/>
      </c>
      <c r="B141">
        <f>'Case Study II'!I150</f>
        <v/>
      </c>
      <c r="C141">
        <f>'Case Study II'!D150</f>
        <v/>
      </c>
      <c r="D141">
        <f>'Case Study II'!E150</f>
        <v/>
      </c>
      <c r="E141">
        <f>'Case Study II'!F150</f>
        <v/>
      </c>
      <c r="F141">
        <f>'Case Study II'!G150</f>
        <v/>
      </c>
      <c r="G141">
        <f>INDEX('Case Study II'!I11:L18, MATCH(B141, INDEX('Case Study II'!I11:L18,,1), 0), 2)</f>
        <v/>
      </c>
      <c r="H141">
        <f>INDEX('Case Study II'!I11:L18, MATCH(B141, INDEX('Case Study II'!I11:L18,,1), 0), 3)</f>
        <v/>
      </c>
      <c r="I141">
        <f>INDEX('Case Study II'!I11:L18, MATCH(B141, INDEX('Case Study II'!I11:L18,,1), 0), 4)</f>
        <v/>
      </c>
      <c r="J141" s="59">
        <f>C141*E141*I141</f>
        <v/>
      </c>
      <c r="K141" s="60">
        <f>J141*H141</f>
        <v/>
      </c>
      <c r="L141">
        <f>IF(D141='Interview',1,0)</f>
        <v/>
      </c>
      <c r="M141">
        <f>IF(O141&gt;F141,'Delayed','On time')</f>
        <v/>
      </c>
      <c r="N141" s="61">
        <f>IF(O141&gt;F141,O141-F141,0)</f>
        <v/>
      </c>
      <c r="O141">
        <f>DATE(2025,3,25)</f>
        <v/>
      </c>
    </row>
    <row r="142">
      <c r="A142">
        <f>'Case Study II'!B151</f>
        <v/>
      </c>
      <c r="B142">
        <f>'Case Study II'!I151</f>
        <v/>
      </c>
      <c r="C142">
        <f>'Case Study II'!D151</f>
        <v/>
      </c>
      <c r="D142">
        <f>'Case Study II'!E151</f>
        <v/>
      </c>
      <c r="E142">
        <f>'Case Study II'!F151</f>
        <v/>
      </c>
      <c r="F142">
        <f>'Case Study II'!G151</f>
        <v/>
      </c>
      <c r="G142">
        <f>INDEX('Case Study II'!I11:L18, MATCH(B142, INDEX('Case Study II'!I11:L18,,1), 0), 2)</f>
        <v/>
      </c>
      <c r="H142">
        <f>INDEX('Case Study II'!I11:L18, MATCH(B142, INDEX('Case Study II'!I11:L18,,1), 0), 3)</f>
        <v/>
      </c>
      <c r="I142">
        <f>INDEX('Case Study II'!I11:L18, MATCH(B142, INDEX('Case Study II'!I11:L18,,1), 0), 4)</f>
        <v/>
      </c>
      <c r="J142" s="59">
        <f>C142*E142*I142</f>
        <v/>
      </c>
      <c r="K142" s="60">
        <f>J142*H142</f>
        <v/>
      </c>
      <c r="L142">
        <f>IF(D142='Interview',1,0)</f>
        <v/>
      </c>
      <c r="M142">
        <f>IF(O142&gt;F142,'Delayed','On time')</f>
        <v/>
      </c>
      <c r="N142" s="61">
        <f>IF(O142&gt;F142,O142-F142,0)</f>
        <v/>
      </c>
      <c r="O142">
        <f>DATE(2025,3,25)</f>
        <v/>
      </c>
    </row>
    <row r="143">
      <c r="A143">
        <f>'Case Study II'!B152</f>
        <v/>
      </c>
      <c r="B143">
        <f>'Case Study II'!I152</f>
        <v/>
      </c>
      <c r="C143">
        <f>'Case Study II'!D152</f>
        <v/>
      </c>
      <c r="D143">
        <f>'Case Study II'!E152</f>
        <v/>
      </c>
      <c r="E143">
        <f>'Case Study II'!F152</f>
        <v/>
      </c>
      <c r="F143">
        <f>'Case Study II'!G152</f>
        <v/>
      </c>
      <c r="G143">
        <f>INDEX('Case Study II'!I11:L18, MATCH(B143, INDEX('Case Study II'!I11:L18,,1), 0), 2)</f>
        <v/>
      </c>
      <c r="H143">
        <f>INDEX('Case Study II'!I11:L18, MATCH(B143, INDEX('Case Study II'!I11:L18,,1), 0), 3)</f>
        <v/>
      </c>
      <c r="I143">
        <f>INDEX('Case Study II'!I11:L18, MATCH(B143, INDEX('Case Study II'!I11:L18,,1), 0), 4)</f>
        <v/>
      </c>
      <c r="J143" s="59">
        <f>C143*E143*I143</f>
        <v/>
      </c>
      <c r="K143" s="60">
        <f>J143*H143</f>
        <v/>
      </c>
      <c r="L143">
        <f>IF(D143='Interview',1,0)</f>
        <v/>
      </c>
      <c r="M143">
        <f>IF(O143&gt;F143,'Delayed','On time')</f>
        <v/>
      </c>
      <c r="N143" s="61">
        <f>IF(O143&gt;F143,O143-F143,0)</f>
        <v/>
      </c>
      <c r="O143">
        <f>DATE(2025,3,25)</f>
        <v/>
      </c>
    </row>
    <row r="144">
      <c r="A144">
        <f>'Case Study II'!B153</f>
        <v/>
      </c>
      <c r="B144">
        <f>'Case Study II'!I153</f>
        <v/>
      </c>
      <c r="C144">
        <f>'Case Study II'!D153</f>
        <v/>
      </c>
      <c r="D144">
        <f>'Case Study II'!E153</f>
        <v/>
      </c>
      <c r="E144">
        <f>'Case Study II'!F153</f>
        <v/>
      </c>
      <c r="F144">
        <f>'Case Study II'!G153</f>
        <v/>
      </c>
      <c r="G144">
        <f>INDEX('Case Study II'!I11:L18, MATCH(B144, INDEX('Case Study II'!I11:L18,,1), 0), 2)</f>
        <v/>
      </c>
      <c r="H144">
        <f>INDEX('Case Study II'!I11:L18, MATCH(B144, INDEX('Case Study II'!I11:L18,,1), 0), 3)</f>
        <v/>
      </c>
      <c r="I144">
        <f>INDEX('Case Study II'!I11:L18, MATCH(B144, INDEX('Case Study II'!I11:L18,,1), 0), 4)</f>
        <v/>
      </c>
      <c r="J144" s="59">
        <f>C144*E144*I144</f>
        <v/>
      </c>
      <c r="K144" s="60">
        <f>J144*H144</f>
        <v/>
      </c>
      <c r="L144">
        <f>IF(D144='Interview',1,0)</f>
        <v/>
      </c>
      <c r="M144">
        <f>IF(O144&gt;F144,'Delayed','On time')</f>
        <v/>
      </c>
      <c r="N144" s="61">
        <f>IF(O144&gt;F144,O144-F144,0)</f>
        <v/>
      </c>
      <c r="O144">
        <f>DATE(2025,3,25)</f>
        <v/>
      </c>
    </row>
    <row r="145">
      <c r="A145">
        <f>'Case Study II'!B154</f>
        <v/>
      </c>
      <c r="B145">
        <f>'Case Study II'!I154</f>
        <v/>
      </c>
      <c r="C145">
        <f>'Case Study II'!D154</f>
        <v/>
      </c>
      <c r="D145">
        <f>'Case Study II'!E154</f>
        <v/>
      </c>
      <c r="E145">
        <f>'Case Study II'!F154</f>
        <v/>
      </c>
      <c r="F145">
        <f>'Case Study II'!G154</f>
        <v/>
      </c>
      <c r="G145">
        <f>INDEX('Case Study II'!I11:L18, MATCH(B145, INDEX('Case Study II'!I11:L18,,1), 0), 2)</f>
        <v/>
      </c>
      <c r="H145">
        <f>INDEX('Case Study II'!I11:L18, MATCH(B145, INDEX('Case Study II'!I11:L18,,1), 0), 3)</f>
        <v/>
      </c>
      <c r="I145">
        <f>INDEX('Case Study II'!I11:L18, MATCH(B145, INDEX('Case Study II'!I11:L18,,1), 0), 4)</f>
        <v/>
      </c>
      <c r="J145" s="59">
        <f>C145*E145*I145</f>
        <v/>
      </c>
      <c r="K145" s="60">
        <f>J145*H145</f>
        <v/>
      </c>
      <c r="L145">
        <f>IF(D145='Interview',1,0)</f>
        <v/>
      </c>
      <c r="M145">
        <f>IF(O145&gt;F145,'Delayed','On time')</f>
        <v/>
      </c>
      <c r="N145" s="61">
        <f>IF(O145&gt;F145,O145-F145,0)</f>
        <v/>
      </c>
      <c r="O145">
        <f>DATE(2025,3,25)</f>
        <v/>
      </c>
    </row>
    <row r="146">
      <c r="A146">
        <f>'Case Study II'!B155</f>
        <v/>
      </c>
      <c r="B146">
        <f>'Case Study II'!I155</f>
        <v/>
      </c>
      <c r="C146">
        <f>'Case Study II'!D155</f>
        <v/>
      </c>
      <c r="D146">
        <f>'Case Study II'!E155</f>
        <v/>
      </c>
      <c r="E146">
        <f>'Case Study II'!F155</f>
        <v/>
      </c>
      <c r="F146">
        <f>'Case Study II'!G155</f>
        <v/>
      </c>
      <c r="G146">
        <f>INDEX('Case Study II'!I11:L18, MATCH(B146, INDEX('Case Study II'!I11:L18,,1), 0), 2)</f>
        <v/>
      </c>
      <c r="H146">
        <f>INDEX('Case Study II'!I11:L18, MATCH(B146, INDEX('Case Study II'!I11:L18,,1), 0), 3)</f>
        <v/>
      </c>
      <c r="I146">
        <f>INDEX('Case Study II'!I11:L18, MATCH(B146, INDEX('Case Study II'!I11:L18,,1), 0), 4)</f>
        <v/>
      </c>
      <c r="J146" s="59">
        <f>C146*E146*I146</f>
        <v/>
      </c>
      <c r="K146" s="60">
        <f>J146*H146</f>
        <v/>
      </c>
      <c r="L146">
        <f>IF(D146='Interview',1,0)</f>
        <v/>
      </c>
      <c r="M146">
        <f>IF(O146&gt;F146,'Delayed','On time')</f>
        <v/>
      </c>
      <c r="N146" s="61">
        <f>IF(O146&gt;F146,O146-F146,0)</f>
        <v/>
      </c>
      <c r="O146">
        <f>DATE(2025,3,25)</f>
        <v/>
      </c>
    </row>
    <row r="147">
      <c r="A147">
        <f>'Case Study II'!B156</f>
        <v/>
      </c>
      <c r="B147">
        <f>'Case Study II'!I156</f>
        <v/>
      </c>
      <c r="C147">
        <f>'Case Study II'!D156</f>
        <v/>
      </c>
      <c r="D147">
        <f>'Case Study II'!E156</f>
        <v/>
      </c>
      <c r="E147">
        <f>'Case Study II'!F156</f>
        <v/>
      </c>
      <c r="F147">
        <f>'Case Study II'!G156</f>
        <v/>
      </c>
      <c r="G147">
        <f>INDEX('Case Study II'!I11:L18, MATCH(B147, INDEX('Case Study II'!I11:L18,,1), 0), 2)</f>
        <v/>
      </c>
      <c r="H147">
        <f>INDEX('Case Study II'!I11:L18, MATCH(B147, INDEX('Case Study II'!I11:L18,,1), 0), 3)</f>
        <v/>
      </c>
      <c r="I147">
        <f>INDEX('Case Study II'!I11:L18, MATCH(B147, INDEX('Case Study II'!I11:L18,,1), 0), 4)</f>
        <v/>
      </c>
      <c r="J147" s="59">
        <f>C147*E147*I147</f>
        <v/>
      </c>
      <c r="K147" s="60">
        <f>J147*H147</f>
        <v/>
      </c>
      <c r="L147">
        <f>IF(D147='Interview',1,0)</f>
        <v/>
      </c>
      <c r="M147">
        <f>IF(O147&gt;F147,'Delayed','On time')</f>
        <v/>
      </c>
      <c r="N147" s="61">
        <f>IF(O147&gt;F147,O147-F147,0)</f>
        <v/>
      </c>
      <c r="O147">
        <f>DATE(2025,3,25)</f>
        <v/>
      </c>
    </row>
    <row r="148">
      <c r="A148">
        <f>'Case Study II'!B157</f>
        <v/>
      </c>
      <c r="B148">
        <f>'Case Study II'!I157</f>
        <v/>
      </c>
      <c r="C148">
        <f>'Case Study II'!D157</f>
        <v/>
      </c>
      <c r="D148">
        <f>'Case Study II'!E157</f>
        <v/>
      </c>
      <c r="E148">
        <f>'Case Study II'!F157</f>
        <v/>
      </c>
      <c r="F148">
        <f>'Case Study II'!G157</f>
        <v/>
      </c>
      <c r="G148">
        <f>INDEX('Case Study II'!I11:L18, MATCH(B148, INDEX('Case Study II'!I11:L18,,1), 0), 2)</f>
        <v/>
      </c>
      <c r="H148">
        <f>INDEX('Case Study II'!I11:L18, MATCH(B148, INDEX('Case Study II'!I11:L18,,1), 0), 3)</f>
        <v/>
      </c>
      <c r="I148">
        <f>INDEX('Case Study II'!I11:L18, MATCH(B148, INDEX('Case Study II'!I11:L18,,1), 0), 4)</f>
        <v/>
      </c>
      <c r="J148" s="59">
        <f>C148*E148*I148</f>
        <v/>
      </c>
      <c r="K148" s="60">
        <f>J148*H148</f>
        <v/>
      </c>
      <c r="L148">
        <f>IF(D148='Interview',1,0)</f>
        <v/>
      </c>
      <c r="M148">
        <f>IF(O148&gt;F148,'Delayed','On time')</f>
        <v/>
      </c>
      <c r="N148" s="61">
        <f>IF(O148&gt;F148,O148-F148,0)</f>
        <v/>
      </c>
      <c r="O148">
        <f>DATE(2025,3,25)</f>
        <v/>
      </c>
    </row>
    <row r="149">
      <c r="A149">
        <f>'Case Study II'!B158</f>
        <v/>
      </c>
      <c r="B149">
        <f>'Case Study II'!I158</f>
        <v/>
      </c>
      <c r="C149">
        <f>'Case Study II'!D158</f>
        <v/>
      </c>
      <c r="D149">
        <f>'Case Study II'!E158</f>
        <v/>
      </c>
      <c r="E149">
        <f>'Case Study II'!F158</f>
        <v/>
      </c>
      <c r="F149">
        <f>'Case Study II'!G158</f>
        <v/>
      </c>
      <c r="G149">
        <f>INDEX('Case Study II'!I11:L18, MATCH(B149, INDEX('Case Study II'!I11:L18,,1), 0), 2)</f>
        <v/>
      </c>
      <c r="H149">
        <f>INDEX('Case Study II'!I11:L18, MATCH(B149, INDEX('Case Study II'!I11:L18,,1), 0), 3)</f>
        <v/>
      </c>
      <c r="I149">
        <f>INDEX('Case Study II'!I11:L18, MATCH(B149, INDEX('Case Study II'!I11:L18,,1), 0), 4)</f>
        <v/>
      </c>
      <c r="J149" s="59">
        <f>C149*E149*I149</f>
        <v/>
      </c>
      <c r="K149" s="60">
        <f>J149*H149</f>
        <v/>
      </c>
      <c r="L149">
        <f>IF(D149='Interview',1,0)</f>
        <v/>
      </c>
      <c r="M149">
        <f>IF(O149&gt;F149,'Delayed','On time')</f>
        <v/>
      </c>
      <c r="N149" s="61">
        <f>IF(O149&gt;F149,O149-F149,0)</f>
        <v/>
      </c>
      <c r="O149">
        <f>DATE(2025,3,25)</f>
        <v/>
      </c>
    </row>
    <row r="150">
      <c r="A150">
        <f>'Case Study II'!B159</f>
        <v/>
      </c>
      <c r="B150">
        <f>'Case Study II'!I159</f>
        <v/>
      </c>
      <c r="C150">
        <f>'Case Study II'!D159</f>
        <v/>
      </c>
      <c r="D150">
        <f>'Case Study II'!E159</f>
        <v/>
      </c>
      <c r="E150">
        <f>'Case Study II'!F159</f>
        <v/>
      </c>
      <c r="F150">
        <f>'Case Study II'!G159</f>
        <v/>
      </c>
      <c r="G150">
        <f>INDEX('Case Study II'!I11:L18, MATCH(B150, INDEX('Case Study II'!I11:L18,,1), 0), 2)</f>
        <v/>
      </c>
      <c r="H150">
        <f>INDEX('Case Study II'!I11:L18, MATCH(B150, INDEX('Case Study II'!I11:L18,,1), 0), 3)</f>
        <v/>
      </c>
      <c r="I150">
        <f>INDEX('Case Study II'!I11:L18, MATCH(B150, INDEX('Case Study II'!I11:L18,,1), 0), 4)</f>
        <v/>
      </c>
      <c r="J150" s="59">
        <f>C150*E150*I150</f>
        <v/>
      </c>
      <c r="K150" s="60">
        <f>J150*H150</f>
        <v/>
      </c>
      <c r="L150">
        <f>IF(D150='Interview',1,0)</f>
        <v/>
      </c>
      <c r="M150">
        <f>IF(O150&gt;F150,'Delayed','On time')</f>
        <v/>
      </c>
      <c r="N150" s="61">
        <f>IF(O150&gt;F150,O150-F150,0)</f>
        <v/>
      </c>
      <c r="O150">
        <f>DATE(2025,3,25)</f>
        <v/>
      </c>
    </row>
    <row r="151">
      <c r="A151">
        <f>'Case Study II'!B160</f>
        <v/>
      </c>
      <c r="B151">
        <f>'Case Study II'!I160</f>
        <v/>
      </c>
      <c r="C151">
        <f>'Case Study II'!D160</f>
        <v/>
      </c>
      <c r="D151">
        <f>'Case Study II'!E160</f>
        <v/>
      </c>
      <c r="E151">
        <f>'Case Study II'!F160</f>
        <v/>
      </c>
      <c r="F151">
        <f>'Case Study II'!G160</f>
        <v/>
      </c>
      <c r="G151">
        <f>INDEX('Case Study II'!I11:L18, MATCH(B151, INDEX('Case Study II'!I11:L18,,1), 0), 2)</f>
        <v/>
      </c>
      <c r="H151">
        <f>INDEX('Case Study II'!I11:L18, MATCH(B151, INDEX('Case Study II'!I11:L18,,1), 0), 3)</f>
        <v/>
      </c>
      <c r="I151">
        <f>INDEX('Case Study II'!I11:L18, MATCH(B151, INDEX('Case Study II'!I11:L18,,1), 0), 4)</f>
        <v/>
      </c>
      <c r="J151" s="59">
        <f>C151*E151*I151</f>
        <v/>
      </c>
      <c r="K151" s="60">
        <f>J151*H151</f>
        <v/>
      </c>
      <c r="L151">
        <f>IF(D151='Interview',1,0)</f>
        <v/>
      </c>
      <c r="M151">
        <f>IF(O151&gt;F151,'Delayed','On time')</f>
        <v/>
      </c>
      <c r="N151" s="61">
        <f>IF(O151&gt;F151,O151-F151,0)</f>
        <v/>
      </c>
      <c r="O151">
        <f>DATE(2025,3,25)</f>
        <v/>
      </c>
    </row>
    <row r="152">
      <c r="A152">
        <f>'Case Study II'!B161</f>
        <v/>
      </c>
      <c r="B152">
        <f>'Case Study II'!I161</f>
        <v/>
      </c>
      <c r="C152">
        <f>'Case Study II'!D161</f>
        <v/>
      </c>
      <c r="D152">
        <f>'Case Study II'!E161</f>
        <v/>
      </c>
      <c r="E152">
        <f>'Case Study II'!F161</f>
        <v/>
      </c>
      <c r="F152">
        <f>'Case Study II'!G161</f>
        <v/>
      </c>
      <c r="G152">
        <f>INDEX('Case Study II'!I11:L18, MATCH(B152, INDEX('Case Study II'!I11:L18,,1), 0), 2)</f>
        <v/>
      </c>
      <c r="H152">
        <f>INDEX('Case Study II'!I11:L18, MATCH(B152, INDEX('Case Study II'!I11:L18,,1), 0), 3)</f>
        <v/>
      </c>
      <c r="I152">
        <f>INDEX('Case Study II'!I11:L18, MATCH(B152, INDEX('Case Study II'!I11:L18,,1), 0), 4)</f>
        <v/>
      </c>
      <c r="J152" s="59">
        <f>C152*E152*I152</f>
        <v/>
      </c>
      <c r="K152" s="60">
        <f>J152*H152</f>
        <v/>
      </c>
      <c r="L152">
        <f>IF(D152='Interview',1,0)</f>
        <v/>
      </c>
      <c r="M152">
        <f>IF(O152&gt;F152,'Delayed','On time')</f>
        <v/>
      </c>
      <c r="N152" s="61">
        <f>IF(O152&gt;F152,O152-F152,0)</f>
        <v/>
      </c>
      <c r="O152">
        <f>DATE(2025,3,25)</f>
        <v/>
      </c>
    </row>
    <row r="153">
      <c r="A153">
        <f>'Case Study II'!B162</f>
        <v/>
      </c>
      <c r="B153">
        <f>'Case Study II'!I162</f>
        <v/>
      </c>
      <c r="C153">
        <f>'Case Study II'!D162</f>
        <v/>
      </c>
      <c r="D153">
        <f>'Case Study II'!E162</f>
        <v/>
      </c>
      <c r="E153">
        <f>'Case Study II'!F162</f>
        <v/>
      </c>
      <c r="F153">
        <f>'Case Study II'!G162</f>
        <v/>
      </c>
      <c r="G153">
        <f>INDEX('Case Study II'!I11:L18, MATCH(B153, INDEX('Case Study II'!I11:L18,,1), 0), 2)</f>
        <v/>
      </c>
      <c r="H153">
        <f>INDEX('Case Study II'!I11:L18, MATCH(B153, INDEX('Case Study II'!I11:L18,,1), 0), 3)</f>
        <v/>
      </c>
      <c r="I153">
        <f>INDEX('Case Study II'!I11:L18, MATCH(B153, INDEX('Case Study II'!I11:L18,,1), 0), 4)</f>
        <v/>
      </c>
      <c r="J153" s="59">
        <f>C153*E153*I153</f>
        <v/>
      </c>
      <c r="K153" s="60">
        <f>J153*H153</f>
        <v/>
      </c>
      <c r="L153">
        <f>IF(D153='Interview',1,0)</f>
        <v/>
      </c>
      <c r="M153">
        <f>IF(O153&gt;F153,'Delayed','On time')</f>
        <v/>
      </c>
      <c r="N153" s="61">
        <f>IF(O153&gt;F153,O153-F153,0)</f>
        <v/>
      </c>
      <c r="O153">
        <f>DATE(2025,3,25)</f>
        <v/>
      </c>
    </row>
    <row r="154">
      <c r="A154">
        <f>'Case Study II'!B163</f>
        <v/>
      </c>
      <c r="B154">
        <f>'Case Study II'!I163</f>
        <v/>
      </c>
      <c r="C154">
        <f>'Case Study II'!D163</f>
        <v/>
      </c>
      <c r="D154">
        <f>'Case Study II'!E163</f>
        <v/>
      </c>
      <c r="E154">
        <f>'Case Study II'!F163</f>
        <v/>
      </c>
      <c r="F154">
        <f>'Case Study II'!G163</f>
        <v/>
      </c>
      <c r="G154">
        <f>INDEX('Case Study II'!I11:L18, MATCH(B154, INDEX('Case Study II'!I11:L18,,1), 0), 2)</f>
        <v/>
      </c>
      <c r="H154">
        <f>INDEX('Case Study II'!I11:L18, MATCH(B154, INDEX('Case Study II'!I11:L18,,1), 0), 3)</f>
        <v/>
      </c>
      <c r="I154">
        <f>INDEX('Case Study II'!I11:L18, MATCH(B154, INDEX('Case Study II'!I11:L18,,1), 0), 4)</f>
        <v/>
      </c>
      <c r="J154" s="59">
        <f>C154*E154*I154</f>
        <v/>
      </c>
      <c r="K154" s="60">
        <f>J154*H154</f>
        <v/>
      </c>
      <c r="L154">
        <f>IF(D154='Interview',1,0)</f>
        <v/>
      </c>
      <c r="M154">
        <f>IF(O154&gt;F154,'Delayed','On time')</f>
        <v/>
      </c>
      <c r="N154" s="61">
        <f>IF(O154&gt;F154,O154-F154,0)</f>
        <v/>
      </c>
      <c r="O154">
        <f>DATE(2025,3,25)</f>
        <v/>
      </c>
    </row>
    <row r="155">
      <c r="A155">
        <f>'Case Study II'!B164</f>
        <v/>
      </c>
      <c r="B155">
        <f>'Case Study II'!I164</f>
        <v/>
      </c>
      <c r="C155">
        <f>'Case Study II'!D164</f>
        <v/>
      </c>
      <c r="D155">
        <f>'Case Study II'!E164</f>
        <v/>
      </c>
      <c r="E155">
        <f>'Case Study II'!F164</f>
        <v/>
      </c>
      <c r="F155">
        <f>'Case Study II'!G164</f>
        <v/>
      </c>
      <c r="G155">
        <f>INDEX('Case Study II'!I11:L18, MATCH(B155, INDEX('Case Study II'!I11:L18,,1), 0), 2)</f>
        <v/>
      </c>
      <c r="H155">
        <f>INDEX('Case Study II'!I11:L18, MATCH(B155, INDEX('Case Study II'!I11:L18,,1), 0), 3)</f>
        <v/>
      </c>
      <c r="I155">
        <f>INDEX('Case Study II'!I11:L18, MATCH(B155, INDEX('Case Study II'!I11:L18,,1), 0), 4)</f>
        <v/>
      </c>
      <c r="J155" s="59">
        <f>C155*E155*I155</f>
        <v/>
      </c>
      <c r="K155" s="60">
        <f>J155*H155</f>
        <v/>
      </c>
      <c r="L155">
        <f>IF(D155='Interview',1,0)</f>
        <v/>
      </c>
      <c r="M155">
        <f>IF(O155&gt;F155,'Delayed','On time')</f>
        <v/>
      </c>
      <c r="N155" s="61">
        <f>IF(O155&gt;F155,O155-F155,0)</f>
        <v/>
      </c>
      <c r="O155">
        <f>DATE(2025,3,25)</f>
        <v/>
      </c>
    </row>
    <row r="156">
      <c r="A156">
        <f>'Case Study II'!B165</f>
        <v/>
      </c>
      <c r="B156">
        <f>'Case Study II'!I165</f>
        <v/>
      </c>
      <c r="C156">
        <f>'Case Study II'!D165</f>
        <v/>
      </c>
      <c r="D156">
        <f>'Case Study II'!E165</f>
        <v/>
      </c>
      <c r="E156">
        <f>'Case Study II'!F165</f>
        <v/>
      </c>
      <c r="F156">
        <f>'Case Study II'!G165</f>
        <v/>
      </c>
      <c r="G156">
        <f>INDEX('Case Study II'!I11:L18, MATCH(B156, INDEX('Case Study II'!I11:L18,,1), 0), 2)</f>
        <v/>
      </c>
      <c r="H156">
        <f>INDEX('Case Study II'!I11:L18, MATCH(B156, INDEX('Case Study II'!I11:L18,,1), 0), 3)</f>
        <v/>
      </c>
      <c r="I156">
        <f>INDEX('Case Study II'!I11:L18, MATCH(B156, INDEX('Case Study II'!I11:L18,,1), 0), 4)</f>
        <v/>
      </c>
      <c r="J156" s="59">
        <f>C156*E156*I156</f>
        <v/>
      </c>
      <c r="K156" s="60">
        <f>J156*H156</f>
        <v/>
      </c>
      <c r="L156">
        <f>IF(D156='Interview',1,0)</f>
        <v/>
      </c>
      <c r="M156">
        <f>IF(O156&gt;F156,'Delayed','On time')</f>
        <v/>
      </c>
      <c r="N156" s="61">
        <f>IF(O156&gt;F156,O156-F156,0)</f>
        <v/>
      </c>
      <c r="O156">
        <f>DATE(2025,3,25)</f>
        <v/>
      </c>
    </row>
    <row r="157">
      <c r="A157">
        <f>'Case Study II'!B166</f>
        <v/>
      </c>
      <c r="B157">
        <f>'Case Study II'!I166</f>
        <v/>
      </c>
      <c r="C157">
        <f>'Case Study II'!D166</f>
        <v/>
      </c>
      <c r="D157">
        <f>'Case Study II'!E166</f>
        <v/>
      </c>
      <c r="E157">
        <f>'Case Study II'!F166</f>
        <v/>
      </c>
      <c r="F157">
        <f>'Case Study II'!G166</f>
        <v/>
      </c>
      <c r="G157">
        <f>INDEX('Case Study II'!I11:L18, MATCH(B157, INDEX('Case Study II'!I11:L18,,1), 0), 2)</f>
        <v/>
      </c>
      <c r="H157">
        <f>INDEX('Case Study II'!I11:L18, MATCH(B157, INDEX('Case Study II'!I11:L18,,1), 0), 3)</f>
        <v/>
      </c>
      <c r="I157">
        <f>INDEX('Case Study II'!I11:L18, MATCH(B157, INDEX('Case Study II'!I11:L18,,1), 0), 4)</f>
        <v/>
      </c>
      <c r="J157" s="59">
        <f>C157*E157*I157</f>
        <v/>
      </c>
      <c r="K157" s="60">
        <f>J157*H157</f>
        <v/>
      </c>
      <c r="L157">
        <f>IF(D157='Interview',1,0)</f>
        <v/>
      </c>
      <c r="M157">
        <f>IF(O157&gt;F157,'Delayed','On time')</f>
        <v/>
      </c>
      <c r="N157" s="61">
        <f>IF(O157&gt;F157,O157-F157,0)</f>
        <v/>
      </c>
      <c r="O157">
        <f>DATE(2025,3,25)</f>
        <v/>
      </c>
    </row>
    <row r="158">
      <c r="A158">
        <f>'Case Study II'!B167</f>
        <v/>
      </c>
      <c r="B158">
        <f>'Case Study II'!I167</f>
        <v/>
      </c>
      <c r="C158">
        <f>'Case Study II'!D167</f>
        <v/>
      </c>
      <c r="D158">
        <f>'Case Study II'!E167</f>
        <v/>
      </c>
      <c r="E158">
        <f>'Case Study II'!F167</f>
        <v/>
      </c>
      <c r="F158">
        <f>'Case Study II'!G167</f>
        <v/>
      </c>
      <c r="G158">
        <f>INDEX('Case Study II'!I11:L18, MATCH(B158, INDEX('Case Study II'!I11:L18,,1), 0), 2)</f>
        <v/>
      </c>
      <c r="H158">
        <f>INDEX('Case Study II'!I11:L18, MATCH(B158, INDEX('Case Study II'!I11:L18,,1), 0), 3)</f>
        <v/>
      </c>
      <c r="I158">
        <f>INDEX('Case Study II'!I11:L18, MATCH(B158, INDEX('Case Study II'!I11:L18,,1), 0), 4)</f>
        <v/>
      </c>
      <c r="J158" s="59">
        <f>C158*E158*I158</f>
        <v/>
      </c>
      <c r="K158" s="60">
        <f>J158*H158</f>
        <v/>
      </c>
      <c r="L158">
        <f>IF(D158='Interview',1,0)</f>
        <v/>
      </c>
      <c r="M158">
        <f>IF(O158&gt;F158,'Delayed','On time')</f>
        <v/>
      </c>
      <c r="N158" s="61">
        <f>IF(O158&gt;F158,O158-F158,0)</f>
        <v/>
      </c>
      <c r="O158">
        <f>DATE(2025,3,25)</f>
        <v/>
      </c>
    </row>
    <row r="159">
      <c r="A159">
        <f>'Case Study II'!B168</f>
        <v/>
      </c>
      <c r="B159">
        <f>'Case Study II'!I168</f>
        <v/>
      </c>
      <c r="C159">
        <f>'Case Study II'!D168</f>
        <v/>
      </c>
      <c r="D159">
        <f>'Case Study II'!E168</f>
        <v/>
      </c>
      <c r="E159">
        <f>'Case Study II'!F168</f>
        <v/>
      </c>
      <c r="F159">
        <f>'Case Study II'!G168</f>
        <v/>
      </c>
      <c r="G159">
        <f>INDEX('Case Study II'!I11:L18, MATCH(B159, INDEX('Case Study II'!I11:L18,,1), 0), 2)</f>
        <v/>
      </c>
      <c r="H159">
        <f>INDEX('Case Study II'!I11:L18, MATCH(B159, INDEX('Case Study II'!I11:L18,,1), 0), 3)</f>
        <v/>
      </c>
      <c r="I159">
        <f>INDEX('Case Study II'!I11:L18, MATCH(B159, INDEX('Case Study II'!I11:L18,,1), 0), 4)</f>
        <v/>
      </c>
      <c r="J159" s="59">
        <f>C159*E159*I159</f>
        <v/>
      </c>
      <c r="K159" s="60">
        <f>J159*H159</f>
        <v/>
      </c>
      <c r="L159">
        <f>IF(D159='Interview',1,0)</f>
        <v/>
      </c>
      <c r="M159">
        <f>IF(O159&gt;F159,'Delayed','On time')</f>
        <v/>
      </c>
      <c r="N159" s="61">
        <f>IF(O159&gt;F159,O159-F159,0)</f>
        <v/>
      </c>
      <c r="O159">
        <f>DATE(2025,3,25)</f>
        <v/>
      </c>
    </row>
    <row r="160">
      <c r="A160">
        <f>'Case Study II'!B169</f>
        <v/>
      </c>
      <c r="B160">
        <f>'Case Study II'!I169</f>
        <v/>
      </c>
      <c r="C160">
        <f>'Case Study II'!D169</f>
        <v/>
      </c>
      <c r="D160">
        <f>'Case Study II'!E169</f>
        <v/>
      </c>
      <c r="E160">
        <f>'Case Study II'!F169</f>
        <v/>
      </c>
      <c r="F160">
        <f>'Case Study II'!G169</f>
        <v/>
      </c>
      <c r="G160">
        <f>INDEX('Case Study II'!I11:L18, MATCH(B160, INDEX('Case Study II'!I11:L18,,1), 0), 2)</f>
        <v/>
      </c>
      <c r="H160">
        <f>INDEX('Case Study II'!I11:L18, MATCH(B160, INDEX('Case Study II'!I11:L18,,1), 0), 3)</f>
        <v/>
      </c>
      <c r="I160">
        <f>INDEX('Case Study II'!I11:L18, MATCH(B160, INDEX('Case Study II'!I11:L18,,1), 0), 4)</f>
        <v/>
      </c>
      <c r="J160" s="59">
        <f>C160*E160*I160</f>
        <v/>
      </c>
      <c r="K160" s="60">
        <f>J160*H160</f>
        <v/>
      </c>
      <c r="L160">
        <f>IF(D160='Interview',1,0)</f>
        <v/>
      </c>
      <c r="M160">
        <f>IF(O160&gt;F160,'Delayed','On time')</f>
        <v/>
      </c>
      <c r="N160" s="61">
        <f>IF(O160&gt;F160,O160-F160,0)</f>
        <v/>
      </c>
      <c r="O160">
        <f>DATE(2025,3,25)</f>
        <v/>
      </c>
    </row>
    <row r="161">
      <c r="A161">
        <f>'Case Study II'!B170</f>
        <v/>
      </c>
      <c r="B161">
        <f>'Case Study II'!I170</f>
        <v/>
      </c>
      <c r="C161">
        <f>'Case Study II'!D170</f>
        <v/>
      </c>
      <c r="D161">
        <f>'Case Study II'!E170</f>
        <v/>
      </c>
      <c r="E161">
        <f>'Case Study II'!F170</f>
        <v/>
      </c>
      <c r="F161">
        <f>'Case Study II'!G170</f>
        <v/>
      </c>
      <c r="G161">
        <f>INDEX('Case Study II'!I11:L18, MATCH(B161, INDEX('Case Study II'!I11:L18,,1), 0), 2)</f>
        <v/>
      </c>
      <c r="H161">
        <f>INDEX('Case Study II'!I11:L18, MATCH(B161, INDEX('Case Study II'!I11:L18,,1), 0), 3)</f>
        <v/>
      </c>
      <c r="I161">
        <f>INDEX('Case Study II'!I11:L18, MATCH(B161, INDEX('Case Study II'!I11:L18,,1), 0), 4)</f>
        <v/>
      </c>
      <c r="J161" s="59">
        <f>C161*E161*I161</f>
        <v/>
      </c>
      <c r="K161" s="60">
        <f>J161*H161</f>
        <v/>
      </c>
      <c r="L161">
        <f>IF(D161='Interview',1,0)</f>
        <v/>
      </c>
      <c r="M161">
        <f>IF(O161&gt;F161,'Delayed','On time')</f>
        <v/>
      </c>
      <c r="N161" s="61">
        <f>IF(O161&gt;F161,O161-F161,0)</f>
        <v/>
      </c>
      <c r="O161">
        <f>DATE(2025,3,25)</f>
        <v/>
      </c>
    </row>
    <row r="162">
      <c r="A162">
        <f>'Case Study II'!B171</f>
        <v/>
      </c>
      <c r="B162">
        <f>'Case Study II'!I171</f>
        <v/>
      </c>
      <c r="C162">
        <f>'Case Study II'!D171</f>
        <v/>
      </c>
      <c r="D162">
        <f>'Case Study II'!E171</f>
        <v/>
      </c>
      <c r="E162">
        <f>'Case Study II'!F171</f>
        <v/>
      </c>
      <c r="F162">
        <f>'Case Study II'!G171</f>
        <v/>
      </c>
      <c r="G162">
        <f>INDEX('Case Study II'!I11:L18, MATCH(B162, INDEX('Case Study II'!I11:L18,,1), 0), 2)</f>
        <v/>
      </c>
      <c r="H162">
        <f>INDEX('Case Study II'!I11:L18, MATCH(B162, INDEX('Case Study II'!I11:L18,,1), 0), 3)</f>
        <v/>
      </c>
      <c r="I162">
        <f>INDEX('Case Study II'!I11:L18, MATCH(B162, INDEX('Case Study II'!I11:L18,,1), 0), 4)</f>
        <v/>
      </c>
      <c r="J162" s="59">
        <f>C162*E162*I162</f>
        <v/>
      </c>
      <c r="K162" s="60">
        <f>J162*H162</f>
        <v/>
      </c>
      <c r="L162">
        <f>IF(D162='Interview',1,0)</f>
        <v/>
      </c>
      <c r="M162">
        <f>IF(O162&gt;F162,'Delayed','On time')</f>
        <v/>
      </c>
      <c r="N162" s="61">
        <f>IF(O162&gt;F162,O162-F162,0)</f>
        <v/>
      </c>
      <c r="O162">
        <f>DATE(2025,3,25)</f>
        <v/>
      </c>
    </row>
    <row r="163">
      <c r="A163">
        <f>'Case Study II'!B172</f>
        <v/>
      </c>
      <c r="B163">
        <f>'Case Study II'!I172</f>
        <v/>
      </c>
      <c r="C163">
        <f>'Case Study II'!D172</f>
        <v/>
      </c>
      <c r="D163">
        <f>'Case Study II'!E172</f>
        <v/>
      </c>
      <c r="E163">
        <f>'Case Study II'!F172</f>
        <v/>
      </c>
      <c r="F163">
        <f>'Case Study II'!G172</f>
        <v/>
      </c>
      <c r="G163">
        <f>INDEX('Case Study II'!I11:L18, MATCH(B163, INDEX('Case Study II'!I11:L18,,1), 0), 2)</f>
        <v/>
      </c>
      <c r="H163">
        <f>INDEX('Case Study II'!I11:L18, MATCH(B163, INDEX('Case Study II'!I11:L18,,1), 0), 3)</f>
        <v/>
      </c>
      <c r="I163">
        <f>INDEX('Case Study II'!I11:L18, MATCH(B163, INDEX('Case Study II'!I11:L18,,1), 0), 4)</f>
        <v/>
      </c>
      <c r="J163" s="59">
        <f>C163*E163*I163</f>
        <v/>
      </c>
      <c r="K163" s="60">
        <f>J163*H163</f>
        <v/>
      </c>
      <c r="L163">
        <f>IF(D163='Interview',1,0)</f>
        <v/>
      </c>
      <c r="M163">
        <f>IF(O163&gt;F163,'Delayed','On time')</f>
        <v/>
      </c>
      <c r="N163" s="61">
        <f>IF(O163&gt;F163,O163-F163,0)</f>
        <v/>
      </c>
      <c r="O163">
        <f>DATE(2025,3,25)</f>
        <v/>
      </c>
    </row>
    <row r="164">
      <c r="A164">
        <f>'Case Study II'!B173</f>
        <v/>
      </c>
      <c r="B164">
        <f>'Case Study II'!I173</f>
        <v/>
      </c>
      <c r="C164">
        <f>'Case Study II'!D173</f>
        <v/>
      </c>
      <c r="D164">
        <f>'Case Study II'!E173</f>
        <v/>
      </c>
      <c r="E164">
        <f>'Case Study II'!F173</f>
        <v/>
      </c>
      <c r="F164">
        <f>'Case Study II'!G173</f>
        <v/>
      </c>
      <c r="G164">
        <f>INDEX('Case Study II'!I11:L18, MATCH(B164, INDEX('Case Study II'!I11:L18,,1), 0), 2)</f>
        <v/>
      </c>
      <c r="H164">
        <f>INDEX('Case Study II'!I11:L18, MATCH(B164, INDEX('Case Study II'!I11:L18,,1), 0), 3)</f>
        <v/>
      </c>
      <c r="I164">
        <f>INDEX('Case Study II'!I11:L18, MATCH(B164, INDEX('Case Study II'!I11:L18,,1), 0), 4)</f>
        <v/>
      </c>
      <c r="J164" s="59">
        <f>C164*E164*I164</f>
        <v/>
      </c>
      <c r="K164" s="60">
        <f>J164*H164</f>
        <v/>
      </c>
      <c r="L164">
        <f>IF(D164='Interview',1,0)</f>
        <v/>
      </c>
      <c r="M164">
        <f>IF(O164&gt;F164,'Delayed','On time')</f>
        <v/>
      </c>
      <c r="N164" s="61">
        <f>IF(O164&gt;F164,O164-F164,0)</f>
        <v/>
      </c>
      <c r="O164">
        <f>DATE(2025,3,25)</f>
        <v/>
      </c>
    </row>
    <row r="165">
      <c r="A165">
        <f>'Case Study II'!B174</f>
        <v/>
      </c>
      <c r="B165">
        <f>'Case Study II'!I174</f>
        <v/>
      </c>
      <c r="C165">
        <f>'Case Study II'!D174</f>
        <v/>
      </c>
      <c r="D165">
        <f>'Case Study II'!E174</f>
        <v/>
      </c>
      <c r="E165">
        <f>'Case Study II'!F174</f>
        <v/>
      </c>
      <c r="F165">
        <f>'Case Study II'!G174</f>
        <v/>
      </c>
      <c r="G165">
        <f>INDEX('Case Study II'!I11:L18, MATCH(B165, INDEX('Case Study II'!I11:L18,,1), 0), 2)</f>
        <v/>
      </c>
      <c r="H165">
        <f>INDEX('Case Study II'!I11:L18, MATCH(B165, INDEX('Case Study II'!I11:L18,,1), 0), 3)</f>
        <v/>
      </c>
      <c r="I165">
        <f>INDEX('Case Study II'!I11:L18, MATCH(B165, INDEX('Case Study II'!I11:L18,,1), 0), 4)</f>
        <v/>
      </c>
      <c r="J165" s="59">
        <f>C165*E165*I165</f>
        <v/>
      </c>
      <c r="K165" s="60">
        <f>J165*H165</f>
        <v/>
      </c>
      <c r="L165">
        <f>IF(D165='Interview',1,0)</f>
        <v/>
      </c>
      <c r="M165">
        <f>IF(O165&gt;F165,'Delayed','On time')</f>
        <v/>
      </c>
      <c r="N165" s="61">
        <f>IF(O165&gt;F165,O165-F165,0)</f>
        <v/>
      </c>
      <c r="O165">
        <f>DATE(2025,3,25)</f>
        <v/>
      </c>
    </row>
    <row r="166">
      <c r="A166">
        <f>'Case Study II'!B175</f>
        <v/>
      </c>
      <c r="B166">
        <f>'Case Study II'!I175</f>
        <v/>
      </c>
      <c r="C166">
        <f>'Case Study II'!D175</f>
        <v/>
      </c>
      <c r="D166">
        <f>'Case Study II'!E175</f>
        <v/>
      </c>
      <c r="E166">
        <f>'Case Study II'!F175</f>
        <v/>
      </c>
      <c r="F166">
        <f>'Case Study II'!G175</f>
        <v/>
      </c>
      <c r="G166">
        <f>INDEX('Case Study II'!I11:L18, MATCH(B166, INDEX('Case Study II'!I11:L18,,1), 0), 2)</f>
        <v/>
      </c>
      <c r="H166">
        <f>INDEX('Case Study II'!I11:L18, MATCH(B166, INDEX('Case Study II'!I11:L18,,1), 0), 3)</f>
        <v/>
      </c>
      <c r="I166">
        <f>INDEX('Case Study II'!I11:L18, MATCH(B166, INDEX('Case Study II'!I11:L18,,1), 0), 4)</f>
        <v/>
      </c>
      <c r="J166" s="59">
        <f>C166*E166*I166</f>
        <v/>
      </c>
      <c r="K166" s="60">
        <f>J166*H166</f>
        <v/>
      </c>
      <c r="L166">
        <f>IF(D166='Interview',1,0)</f>
        <v/>
      </c>
      <c r="M166">
        <f>IF(O166&gt;F166,'Delayed','On time')</f>
        <v/>
      </c>
      <c r="N166" s="61">
        <f>IF(O166&gt;F166,O166-F166,0)</f>
        <v/>
      </c>
      <c r="O166">
        <f>DATE(2025,3,25)</f>
        <v/>
      </c>
    </row>
    <row r="167">
      <c r="A167">
        <f>'Case Study II'!B176</f>
        <v/>
      </c>
      <c r="B167">
        <f>'Case Study II'!I176</f>
        <v/>
      </c>
      <c r="C167">
        <f>'Case Study II'!D176</f>
        <v/>
      </c>
      <c r="D167">
        <f>'Case Study II'!E176</f>
        <v/>
      </c>
      <c r="E167">
        <f>'Case Study II'!F176</f>
        <v/>
      </c>
      <c r="F167">
        <f>'Case Study II'!G176</f>
        <v/>
      </c>
      <c r="G167">
        <f>INDEX('Case Study II'!I11:L18, MATCH(B167, INDEX('Case Study II'!I11:L18,,1), 0), 2)</f>
        <v/>
      </c>
      <c r="H167">
        <f>INDEX('Case Study II'!I11:L18, MATCH(B167, INDEX('Case Study II'!I11:L18,,1), 0), 3)</f>
        <v/>
      </c>
      <c r="I167">
        <f>INDEX('Case Study II'!I11:L18, MATCH(B167, INDEX('Case Study II'!I11:L18,,1), 0), 4)</f>
        <v/>
      </c>
      <c r="J167" s="59">
        <f>C167*E167*I167</f>
        <v/>
      </c>
      <c r="K167" s="60">
        <f>J167*H167</f>
        <v/>
      </c>
      <c r="L167">
        <f>IF(D167='Interview',1,0)</f>
        <v/>
      </c>
      <c r="M167">
        <f>IF(O167&gt;F167,'Delayed','On time')</f>
        <v/>
      </c>
      <c r="N167" s="61">
        <f>IF(O167&gt;F167,O167-F167,0)</f>
        <v/>
      </c>
      <c r="O167">
        <f>DATE(2025,3,25)</f>
        <v/>
      </c>
    </row>
    <row r="168">
      <c r="A168">
        <f>'Case Study II'!B177</f>
        <v/>
      </c>
      <c r="B168">
        <f>'Case Study II'!I177</f>
        <v/>
      </c>
      <c r="C168">
        <f>'Case Study II'!D177</f>
        <v/>
      </c>
      <c r="D168">
        <f>'Case Study II'!E177</f>
        <v/>
      </c>
      <c r="E168">
        <f>'Case Study II'!F177</f>
        <v/>
      </c>
      <c r="F168">
        <f>'Case Study II'!G177</f>
        <v/>
      </c>
      <c r="G168">
        <f>INDEX('Case Study II'!I11:L18, MATCH(B168, INDEX('Case Study II'!I11:L18,,1), 0), 2)</f>
        <v/>
      </c>
      <c r="H168">
        <f>INDEX('Case Study II'!I11:L18, MATCH(B168, INDEX('Case Study II'!I11:L18,,1), 0), 3)</f>
        <v/>
      </c>
      <c r="I168">
        <f>INDEX('Case Study II'!I11:L18, MATCH(B168, INDEX('Case Study II'!I11:L18,,1), 0), 4)</f>
        <v/>
      </c>
      <c r="J168" s="59">
        <f>C168*E168*I168</f>
        <v/>
      </c>
      <c r="K168" s="60">
        <f>J168*H168</f>
        <v/>
      </c>
      <c r="L168">
        <f>IF(D168='Interview',1,0)</f>
        <v/>
      </c>
      <c r="M168">
        <f>IF(O168&gt;F168,'Delayed','On time')</f>
        <v/>
      </c>
      <c r="N168" s="61">
        <f>IF(O168&gt;F168,O168-F168,0)</f>
        <v/>
      </c>
      <c r="O168">
        <f>DATE(2025,3,25)</f>
        <v/>
      </c>
    </row>
    <row r="169">
      <c r="A169">
        <f>'Case Study II'!B178</f>
        <v/>
      </c>
      <c r="B169">
        <f>'Case Study II'!I178</f>
        <v/>
      </c>
      <c r="C169">
        <f>'Case Study II'!D178</f>
        <v/>
      </c>
      <c r="D169">
        <f>'Case Study II'!E178</f>
        <v/>
      </c>
      <c r="E169">
        <f>'Case Study II'!F178</f>
        <v/>
      </c>
      <c r="F169">
        <f>'Case Study II'!G178</f>
        <v/>
      </c>
      <c r="G169">
        <f>INDEX('Case Study II'!I11:L18, MATCH(B169, INDEX('Case Study II'!I11:L18,,1), 0), 2)</f>
        <v/>
      </c>
      <c r="H169">
        <f>INDEX('Case Study II'!I11:L18, MATCH(B169, INDEX('Case Study II'!I11:L18,,1), 0), 3)</f>
        <v/>
      </c>
      <c r="I169">
        <f>INDEX('Case Study II'!I11:L18, MATCH(B169, INDEX('Case Study II'!I11:L18,,1), 0), 4)</f>
        <v/>
      </c>
      <c r="J169" s="59">
        <f>C169*E169*I169</f>
        <v/>
      </c>
      <c r="K169" s="60">
        <f>J169*H169</f>
        <v/>
      </c>
      <c r="L169">
        <f>IF(D169='Interview',1,0)</f>
        <v/>
      </c>
      <c r="M169">
        <f>IF(O169&gt;F169,'Delayed','On time')</f>
        <v/>
      </c>
      <c r="N169" s="61">
        <f>IF(O169&gt;F169,O169-F169,0)</f>
        <v/>
      </c>
      <c r="O169">
        <f>DATE(2025,3,25)</f>
        <v/>
      </c>
    </row>
    <row r="170">
      <c r="A170">
        <f>'Case Study II'!B179</f>
        <v/>
      </c>
      <c r="B170">
        <f>'Case Study II'!I179</f>
        <v/>
      </c>
      <c r="C170">
        <f>'Case Study II'!D179</f>
        <v/>
      </c>
      <c r="D170">
        <f>'Case Study II'!E179</f>
        <v/>
      </c>
      <c r="E170">
        <f>'Case Study II'!F179</f>
        <v/>
      </c>
      <c r="F170">
        <f>'Case Study II'!G179</f>
        <v/>
      </c>
      <c r="G170">
        <f>INDEX('Case Study II'!I11:L18, MATCH(B170, INDEX('Case Study II'!I11:L18,,1), 0), 2)</f>
        <v/>
      </c>
      <c r="H170">
        <f>INDEX('Case Study II'!I11:L18, MATCH(B170, INDEX('Case Study II'!I11:L18,,1), 0), 3)</f>
        <v/>
      </c>
      <c r="I170">
        <f>INDEX('Case Study II'!I11:L18, MATCH(B170, INDEX('Case Study II'!I11:L18,,1), 0), 4)</f>
        <v/>
      </c>
      <c r="J170" s="59">
        <f>C170*E170*I170</f>
        <v/>
      </c>
      <c r="K170" s="60">
        <f>J170*H170</f>
        <v/>
      </c>
      <c r="L170">
        <f>IF(D170='Interview',1,0)</f>
        <v/>
      </c>
      <c r="M170">
        <f>IF(O170&gt;F170,'Delayed','On time')</f>
        <v/>
      </c>
      <c r="N170" s="61">
        <f>IF(O170&gt;F170,O170-F170,0)</f>
        <v/>
      </c>
      <c r="O170">
        <f>DATE(2025,3,25)</f>
        <v/>
      </c>
    </row>
    <row r="171">
      <c r="A171">
        <f>'Case Study II'!B180</f>
        <v/>
      </c>
      <c r="B171">
        <f>'Case Study II'!I180</f>
        <v/>
      </c>
      <c r="C171">
        <f>'Case Study II'!D180</f>
        <v/>
      </c>
      <c r="D171">
        <f>'Case Study II'!E180</f>
        <v/>
      </c>
      <c r="E171">
        <f>'Case Study II'!F180</f>
        <v/>
      </c>
      <c r="F171">
        <f>'Case Study II'!G180</f>
        <v/>
      </c>
      <c r="G171">
        <f>INDEX('Case Study II'!I11:L18, MATCH(B171, INDEX('Case Study II'!I11:L18,,1), 0), 2)</f>
        <v/>
      </c>
      <c r="H171">
        <f>INDEX('Case Study II'!I11:L18, MATCH(B171, INDEX('Case Study II'!I11:L18,,1), 0), 3)</f>
        <v/>
      </c>
      <c r="I171">
        <f>INDEX('Case Study II'!I11:L18, MATCH(B171, INDEX('Case Study II'!I11:L18,,1), 0), 4)</f>
        <v/>
      </c>
      <c r="J171" s="59">
        <f>C171*E171*I171</f>
        <v/>
      </c>
      <c r="K171" s="60">
        <f>J171*H171</f>
        <v/>
      </c>
      <c r="L171">
        <f>IF(D171='Interview',1,0)</f>
        <v/>
      </c>
      <c r="M171">
        <f>IF(O171&gt;F171,'Delayed','On time')</f>
        <v/>
      </c>
      <c r="N171" s="61">
        <f>IF(O171&gt;F171,O171-F171,0)</f>
        <v/>
      </c>
      <c r="O171">
        <f>DATE(2025,3,25)</f>
        <v/>
      </c>
    </row>
    <row r="172">
      <c r="A172">
        <f>'Case Study II'!B181</f>
        <v/>
      </c>
      <c r="B172">
        <f>'Case Study II'!I181</f>
        <v/>
      </c>
      <c r="C172">
        <f>'Case Study II'!D181</f>
        <v/>
      </c>
      <c r="D172">
        <f>'Case Study II'!E181</f>
        <v/>
      </c>
      <c r="E172">
        <f>'Case Study II'!F181</f>
        <v/>
      </c>
      <c r="F172">
        <f>'Case Study II'!G181</f>
        <v/>
      </c>
      <c r="G172">
        <f>INDEX('Case Study II'!I11:L18, MATCH(B172, INDEX('Case Study II'!I11:L18,,1), 0), 2)</f>
        <v/>
      </c>
      <c r="H172">
        <f>INDEX('Case Study II'!I11:L18, MATCH(B172, INDEX('Case Study II'!I11:L18,,1), 0), 3)</f>
        <v/>
      </c>
      <c r="I172">
        <f>INDEX('Case Study II'!I11:L18, MATCH(B172, INDEX('Case Study II'!I11:L18,,1), 0), 4)</f>
        <v/>
      </c>
      <c r="J172" s="59">
        <f>C172*E172*I172</f>
        <v/>
      </c>
      <c r="K172" s="60">
        <f>J172*H172</f>
        <v/>
      </c>
      <c r="L172">
        <f>IF(D172='Interview',1,0)</f>
        <v/>
      </c>
      <c r="M172">
        <f>IF(O172&gt;F172,'Delayed','On time')</f>
        <v/>
      </c>
      <c r="N172" s="61">
        <f>IF(O172&gt;F172,O172-F172,0)</f>
        <v/>
      </c>
      <c r="O172">
        <f>DATE(2025,3,25)</f>
        <v/>
      </c>
    </row>
    <row r="173">
      <c r="A173">
        <f>'Case Study II'!B182</f>
        <v/>
      </c>
      <c r="B173">
        <f>'Case Study II'!I182</f>
        <v/>
      </c>
      <c r="C173">
        <f>'Case Study II'!D182</f>
        <v/>
      </c>
      <c r="D173">
        <f>'Case Study II'!E182</f>
        <v/>
      </c>
      <c r="E173">
        <f>'Case Study II'!F182</f>
        <v/>
      </c>
      <c r="F173">
        <f>'Case Study II'!G182</f>
        <v/>
      </c>
      <c r="G173">
        <f>INDEX('Case Study II'!I11:L18, MATCH(B173, INDEX('Case Study II'!I11:L18,,1), 0), 2)</f>
        <v/>
      </c>
      <c r="H173">
        <f>INDEX('Case Study II'!I11:L18, MATCH(B173, INDEX('Case Study II'!I11:L18,,1), 0), 3)</f>
        <v/>
      </c>
      <c r="I173">
        <f>INDEX('Case Study II'!I11:L18, MATCH(B173, INDEX('Case Study II'!I11:L18,,1), 0), 4)</f>
        <v/>
      </c>
      <c r="J173" s="59">
        <f>C173*E173*I173</f>
        <v/>
      </c>
      <c r="K173" s="60">
        <f>J173*H173</f>
        <v/>
      </c>
      <c r="L173">
        <f>IF(D173='Interview',1,0)</f>
        <v/>
      </c>
      <c r="M173">
        <f>IF(O173&gt;F173,'Delayed','On time')</f>
        <v/>
      </c>
      <c r="N173" s="61">
        <f>IF(O173&gt;F173,O173-F173,0)</f>
        <v/>
      </c>
      <c r="O173">
        <f>DATE(2025,3,25)</f>
        <v/>
      </c>
    </row>
    <row r="174">
      <c r="A174">
        <f>'Case Study II'!B183</f>
        <v/>
      </c>
      <c r="B174">
        <f>'Case Study II'!I183</f>
        <v/>
      </c>
      <c r="C174">
        <f>'Case Study II'!D183</f>
        <v/>
      </c>
      <c r="D174">
        <f>'Case Study II'!E183</f>
        <v/>
      </c>
      <c r="E174">
        <f>'Case Study II'!F183</f>
        <v/>
      </c>
      <c r="F174">
        <f>'Case Study II'!G183</f>
        <v/>
      </c>
      <c r="G174">
        <f>INDEX('Case Study II'!I11:L18, MATCH(B174, INDEX('Case Study II'!I11:L18,,1), 0), 2)</f>
        <v/>
      </c>
      <c r="H174">
        <f>INDEX('Case Study II'!I11:L18, MATCH(B174, INDEX('Case Study II'!I11:L18,,1), 0), 3)</f>
        <v/>
      </c>
      <c r="I174">
        <f>INDEX('Case Study II'!I11:L18, MATCH(B174, INDEX('Case Study II'!I11:L18,,1), 0), 4)</f>
        <v/>
      </c>
      <c r="J174" s="59">
        <f>C174*E174*I174</f>
        <v/>
      </c>
      <c r="K174" s="60">
        <f>J174*H174</f>
        <v/>
      </c>
      <c r="L174">
        <f>IF(D174='Interview',1,0)</f>
        <v/>
      </c>
      <c r="M174">
        <f>IF(O174&gt;F174,'Delayed','On time')</f>
        <v/>
      </c>
      <c r="N174" s="61">
        <f>IF(O174&gt;F174,O174-F174,0)</f>
        <v/>
      </c>
      <c r="O174">
        <f>DATE(2025,3,25)</f>
        <v/>
      </c>
    </row>
    <row r="175">
      <c r="A175">
        <f>'Case Study II'!B184</f>
        <v/>
      </c>
      <c r="B175">
        <f>'Case Study II'!I184</f>
        <v/>
      </c>
      <c r="C175">
        <f>'Case Study II'!D184</f>
        <v/>
      </c>
      <c r="D175">
        <f>'Case Study II'!E184</f>
        <v/>
      </c>
      <c r="E175">
        <f>'Case Study II'!F184</f>
        <v/>
      </c>
      <c r="F175">
        <f>'Case Study II'!G184</f>
        <v/>
      </c>
      <c r="G175">
        <f>INDEX('Case Study II'!I11:L18, MATCH(B175, INDEX('Case Study II'!I11:L18,,1), 0), 2)</f>
        <v/>
      </c>
      <c r="H175">
        <f>INDEX('Case Study II'!I11:L18, MATCH(B175, INDEX('Case Study II'!I11:L18,,1), 0), 3)</f>
        <v/>
      </c>
      <c r="I175">
        <f>INDEX('Case Study II'!I11:L18, MATCH(B175, INDEX('Case Study II'!I11:L18,,1), 0), 4)</f>
        <v/>
      </c>
      <c r="J175" s="59">
        <f>C175*E175*I175</f>
        <v/>
      </c>
      <c r="K175" s="60">
        <f>J175*H175</f>
        <v/>
      </c>
      <c r="L175">
        <f>IF(D175='Interview',1,0)</f>
        <v/>
      </c>
      <c r="M175">
        <f>IF(O175&gt;F175,'Delayed','On time')</f>
        <v/>
      </c>
      <c r="N175" s="61">
        <f>IF(O175&gt;F175,O175-F175,0)</f>
        <v/>
      </c>
      <c r="O175">
        <f>DATE(2025,3,25)</f>
        <v/>
      </c>
    </row>
    <row r="176">
      <c r="A176">
        <f>'Case Study II'!B185</f>
        <v/>
      </c>
      <c r="B176">
        <f>'Case Study II'!I185</f>
        <v/>
      </c>
      <c r="C176">
        <f>'Case Study II'!D185</f>
        <v/>
      </c>
      <c r="D176">
        <f>'Case Study II'!E185</f>
        <v/>
      </c>
      <c r="E176">
        <f>'Case Study II'!F185</f>
        <v/>
      </c>
      <c r="F176">
        <f>'Case Study II'!G185</f>
        <v/>
      </c>
      <c r="G176">
        <f>INDEX('Case Study II'!I11:L18, MATCH(B176, INDEX('Case Study II'!I11:L18,,1), 0), 2)</f>
        <v/>
      </c>
      <c r="H176">
        <f>INDEX('Case Study II'!I11:L18, MATCH(B176, INDEX('Case Study II'!I11:L18,,1), 0), 3)</f>
        <v/>
      </c>
      <c r="I176">
        <f>INDEX('Case Study II'!I11:L18, MATCH(B176, INDEX('Case Study II'!I11:L18,,1), 0), 4)</f>
        <v/>
      </c>
      <c r="J176" s="59">
        <f>C176*E176*I176</f>
        <v/>
      </c>
      <c r="K176" s="60">
        <f>J176*H176</f>
        <v/>
      </c>
      <c r="L176">
        <f>IF(D176='Interview',1,0)</f>
        <v/>
      </c>
      <c r="M176">
        <f>IF(O176&gt;F176,'Delayed','On time')</f>
        <v/>
      </c>
      <c r="N176" s="61">
        <f>IF(O176&gt;F176,O176-F176,0)</f>
        <v/>
      </c>
      <c r="O176">
        <f>DATE(2025,3,25)</f>
        <v/>
      </c>
    </row>
    <row r="177">
      <c r="A177">
        <f>'Case Study II'!B186</f>
        <v/>
      </c>
      <c r="B177">
        <f>'Case Study II'!I186</f>
        <v/>
      </c>
      <c r="C177">
        <f>'Case Study II'!D186</f>
        <v/>
      </c>
      <c r="D177">
        <f>'Case Study II'!E186</f>
        <v/>
      </c>
      <c r="E177">
        <f>'Case Study II'!F186</f>
        <v/>
      </c>
      <c r="F177">
        <f>'Case Study II'!G186</f>
        <v/>
      </c>
      <c r="G177">
        <f>INDEX('Case Study II'!I11:L18, MATCH(B177, INDEX('Case Study II'!I11:L18,,1), 0), 2)</f>
        <v/>
      </c>
      <c r="H177">
        <f>INDEX('Case Study II'!I11:L18, MATCH(B177, INDEX('Case Study II'!I11:L18,,1), 0), 3)</f>
        <v/>
      </c>
      <c r="I177">
        <f>INDEX('Case Study II'!I11:L18, MATCH(B177, INDEX('Case Study II'!I11:L18,,1), 0), 4)</f>
        <v/>
      </c>
      <c r="J177" s="59">
        <f>C177*E177*I177</f>
        <v/>
      </c>
      <c r="K177" s="60">
        <f>J177*H177</f>
        <v/>
      </c>
      <c r="L177">
        <f>IF(D177='Interview',1,0)</f>
        <v/>
      </c>
      <c r="M177">
        <f>IF(O177&gt;F177,'Delayed','On time')</f>
        <v/>
      </c>
      <c r="N177" s="61">
        <f>IF(O177&gt;F177,O177-F177,0)</f>
        <v/>
      </c>
      <c r="O177">
        <f>DATE(2025,3,25)</f>
        <v/>
      </c>
    </row>
    <row r="178">
      <c r="A178">
        <f>'Case Study II'!B187</f>
        <v/>
      </c>
      <c r="B178">
        <f>'Case Study II'!I187</f>
        <v/>
      </c>
      <c r="C178">
        <f>'Case Study II'!D187</f>
        <v/>
      </c>
      <c r="D178">
        <f>'Case Study II'!E187</f>
        <v/>
      </c>
      <c r="E178">
        <f>'Case Study II'!F187</f>
        <v/>
      </c>
      <c r="F178">
        <f>'Case Study II'!G187</f>
        <v/>
      </c>
      <c r="G178">
        <f>INDEX('Case Study II'!I11:L18, MATCH(B178, INDEX('Case Study II'!I11:L18,,1), 0), 2)</f>
        <v/>
      </c>
      <c r="H178">
        <f>INDEX('Case Study II'!I11:L18, MATCH(B178, INDEX('Case Study II'!I11:L18,,1), 0), 3)</f>
        <v/>
      </c>
      <c r="I178">
        <f>INDEX('Case Study II'!I11:L18, MATCH(B178, INDEX('Case Study II'!I11:L18,,1), 0), 4)</f>
        <v/>
      </c>
      <c r="J178" s="59">
        <f>C178*E178*I178</f>
        <v/>
      </c>
      <c r="K178" s="60">
        <f>J178*H178</f>
        <v/>
      </c>
      <c r="L178">
        <f>IF(D178='Interview',1,0)</f>
        <v/>
      </c>
      <c r="M178">
        <f>IF(O178&gt;F178,'Delayed','On time')</f>
        <v/>
      </c>
      <c r="N178" s="61">
        <f>IF(O178&gt;F178,O178-F178,0)</f>
        <v/>
      </c>
      <c r="O178">
        <f>DATE(2025,3,25)</f>
        <v/>
      </c>
    </row>
    <row r="179">
      <c r="A179">
        <f>'Case Study II'!B188</f>
        <v/>
      </c>
      <c r="B179">
        <f>'Case Study II'!I188</f>
        <v/>
      </c>
      <c r="C179">
        <f>'Case Study II'!D188</f>
        <v/>
      </c>
      <c r="D179">
        <f>'Case Study II'!E188</f>
        <v/>
      </c>
      <c r="E179">
        <f>'Case Study II'!F188</f>
        <v/>
      </c>
      <c r="F179">
        <f>'Case Study II'!G188</f>
        <v/>
      </c>
      <c r="G179">
        <f>INDEX('Case Study II'!I11:L18, MATCH(B179, INDEX('Case Study II'!I11:L18,,1), 0), 2)</f>
        <v/>
      </c>
      <c r="H179">
        <f>INDEX('Case Study II'!I11:L18, MATCH(B179, INDEX('Case Study II'!I11:L18,,1), 0), 3)</f>
        <v/>
      </c>
      <c r="I179">
        <f>INDEX('Case Study II'!I11:L18, MATCH(B179, INDEX('Case Study II'!I11:L18,,1), 0), 4)</f>
        <v/>
      </c>
      <c r="J179" s="59">
        <f>C179*E179*I179</f>
        <v/>
      </c>
      <c r="K179" s="60">
        <f>J179*H179</f>
        <v/>
      </c>
      <c r="L179">
        <f>IF(D179='Interview',1,0)</f>
        <v/>
      </c>
      <c r="M179">
        <f>IF(O179&gt;F179,'Delayed','On time')</f>
        <v/>
      </c>
      <c r="N179" s="61">
        <f>IF(O179&gt;F179,O179-F179,0)</f>
        <v/>
      </c>
      <c r="O179">
        <f>DATE(2025,3,25)</f>
        <v/>
      </c>
    </row>
    <row r="180">
      <c r="A180">
        <f>'Case Study II'!B189</f>
        <v/>
      </c>
      <c r="B180">
        <f>'Case Study II'!I189</f>
        <v/>
      </c>
      <c r="C180">
        <f>'Case Study II'!D189</f>
        <v/>
      </c>
      <c r="D180">
        <f>'Case Study II'!E189</f>
        <v/>
      </c>
      <c r="E180">
        <f>'Case Study II'!F189</f>
        <v/>
      </c>
      <c r="F180">
        <f>'Case Study II'!G189</f>
        <v/>
      </c>
      <c r="G180">
        <f>INDEX('Case Study II'!I11:L18, MATCH(B180, INDEX('Case Study II'!I11:L18,,1), 0), 2)</f>
        <v/>
      </c>
      <c r="H180">
        <f>INDEX('Case Study II'!I11:L18, MATCH(B180, INDEX('Case Study II'!I11:L18,,1), 0), 3)</f>
        <v/>
      </c>
      <c r="I180">
        <f>INDEX('Case Study II'!I11:L18, MATCH(B180, INDEX('Case Study II'!I11:L18,,1), 0), 4)</f>
        <v/>
      </c>
      <c r="J180" s="59">
        <f>C180*E180*I180</f>
        <v/>
      </c>
      <c r="K180" s="60">
        <f>J180*H180</f>
        <v/>
      </c>
      <c r="L180">
        <f>IF(D180='Interview',1,0)</f>
        <v/>
      </c>
      <c r="M180">
        <f>IF(O180&gt;F180,'Delayed','On time')</f>
        <v/>
      </c>
      <c r="N180" s="61">
        <f>IF(O180&gt;F180,O180-F180,0)</f>
        <v/>
      </c>
      <c r="O180">
        <f>DATE(2025,3,25)</f>
        <v/>
      </c>
    </row>
    <row r="181">
      <c r="A181">
        <f>'Case Study II'!B190</f>
        <v/>
      </c>
      <c r="B181">
        <f>'Case Study II'!I190</f>
        <v/>
      </c>
      <c r="C181">
        <f>'Case Study II'!D190</f>
        <v/>
      </c>
      <c r="D181">
        <f>'Case Study II'!E190</f>
        <v/>
      </c>
      <c r="E181">
        <f>'Case Study II'!F190</f>
        <v/>
      </c>
      <c r="F181">
        <f>'Case Study II'!G190</f>
        <v/>
      </c>
      <c r="G181">
        <f>INDEX('Case Study II'!I11:L18, MATCH(B181, INDEX('Case Study II'!I11:L18,,1), 0), 2)</f>
        <v/>
      </c>
      <c r="H181">
        <f>INDEX('Case Study II'!I11:L18, MATCH(B181, INDEX('Case Study II'!I11:L18,,1), 0), 3)</f>
        <v/>
      </c>
      <c r="I181">
        <f>INDEX('Case Study II'!I11:L18, MATCH(B181, INDEX('Case Study II'!I11:L18,,1), 0), 4)</f>
        <v/>
      </c>
      <c r="J181" s="59">
        <f>C181*E181*I181</f>
        <v/>
      </c>
      <c r="K181" s="60">
        <f>J181*H181</f>
        <v/>
      </c>
      <c r="L181">
        <f>IF(D181='Interview',1,0)</f>
        <v/>
      </c>
      <c r="M181">
        <f>IF(O181&gt;F181,'Delayed','On time')</f>
        <v/>
      </c>
      <c r="N181" s="61">
        <f>IF(O181&gt;F181,O181-F181,0)</f>
        <v/>
      </c>
      <c r="O181">
        <f>DATE(2025,3,25)</f>
        <v/>
      </c>
    </row>
    <row r="182">
      <c r="A182">
        <f>'Case Study II'!B191</f>
        <v/>
      </c>
      <c r="B182">
        <f>'Case Study II'!I191</f>
        <v/>
      </c>
      <c r="C182">
        <f>'Case Study II'!D191</f>
        <v/>
      </c>
      <c r="D182">
        <f>'Case Study II'!E191</f>
        <v/>
      </c>
      <c r="E182">
        <f>'Case Study II'!F191</f>
        <v/>
      </c>
      <c r="F182">
        <f>'Case Study II'!G191</f>
        <v/>
      </c>
      <c r="G182">
        <f>INDEX('Case Study II'!I11:L18, MATCH(B182, INDEX('Case Study II'!I11:L18,,1), 0), 2)</f>
        <v/>
      </c>
      <c r="H182">
        <f>INDEX('Case Study II'!I11:L18, MATCH(B182, INDEX('Case Study II'!I11:L18,,1), 0), 3)</f>
        <v/>
      </c>
      <c r="I182">
        <f>INDEX('Case Study II'!I11:L18, MATCH(B182, INDEX('Case Study II'!I11:L18,,1), 0), 4)</f>
        <v/>
      </c>
      <c r="J182" s="59">
        <f>C182*E182*I182</f>
        <v/>
      </c>
      <c r="K182" s="60">
        <f>J182*H182</f>
        <v/>
      </c>
      <c r="L182">
        <f>IF(D182='Interview',1,0)</f>
        <v/>
      </c>
      <c r="M182">
        <f>IF(O182&gt;F182,'Delayed','On time')</f>
        <v/>
      </c>
      <c r="N182" s="61">
        <f>IF(O182&gt;F182,O182-F182,0)</f>
        <v/>
      </c>
      <c r="O182">
        <f>DATE(2025,3,25)</f>
        <v/>
      </c>
    </row>
    <row r="183">
      <c r="A183">
        <f>'Case Study II'!B192</f>
        <v/>
      </c>
      <c r="B183">
        <f>'Case Study II'!I192</f>
        <v/>
      </c>
      <c r="C183">
        <f>'Case Study II'!D192</f>
        <v/>
      </c>
      <c r="D183">
        <f>'Case Study II'!E192</f>
        <v/>
      </c>
      <c r="E183">
        <f>'Case Study II'!F192</f>
        <v/>
      </c>
      <c r="F183">
        <f>'Case Study II'!G192</f>
        <v/>
      </c>
      <c r="G183">
        <f>INDEX('Case Study II'!I11:L18, MATCH(B183, INDEX('Case Study II'!I11:L18,,1), 0), 2)</f>
        <v/>
      </c>
      <c r="H183">
        <f>INDEX('Case Study II'!I11:L18, MATCH(B183, INDEX('Case Study II'!I11:L18,,1), 0), 3)</f>
        <v/>
      </c>
      <c r="I183">
        <f>INDEX('Case Study II'!I11:L18, MATCH(B183, INDEX('Case Study II'!I11:L18,,1), 0), 4)</f>
        <v/>
      </c>
      <c r="J183" s="59">
        <f>C183*E183*I183</f>
        <v/>
      </c>
      <c r="K183" s="60">
        <f>J183*H183</f>
        <v/>
      </c>
      <c r="L183">
        <f>IF(D183='Interview',1,0)</f>
        <v/>
      </c>
      <c r="M183">
        <f>IF(O183&gt;F183,'Delayed','On time')</f>
        <v/>
      </c>
      <c r="N183" s="61">
        <f>IF(O183&gt;F183,O183-F183,0)</f>
        <v/>
      </c>
      <c r="O183">
        <f>DATE(2025,3,25)</f>
        <v/>
      </c>
    </row>
    <row r="184">
      <c r="A184">
        <f>'Case Study II'!B193</f>
        <v/>
      </c>
      <c r="B184">
        <f>'Case Study II'!I193</f>
        <v/>
      </c>
      <c r="C184">
        <f>'Case Study II'!D193</f>
        <v/>
      </c>
      <c r="D184">
        <f>'Case Study II'!E193</f>
        <v/>
      </c>
      <c r="E184">
        <f>'Case Study II'!F193</f>
        <v/>
      </c>
      <c r="F184">
        <f>'Case Study II'!G193</f>
        <v/>
      </c>
      <c r="G184">
        <f>INDEX('Case Study II'!I11:L18, MATCH(B184, INDEX('Case Study II'!I11:L18,,1), 0), 2)</f>
        <v/>
      </c>
      <c r="H184">
        <f>INDEX('Case Study II'!I11:L18, MATCH(B184, INDEX('Case Study II'!I11:L18,,1), 0), 3)</f>
        <v/>
      </c>
      <c r="I184">
        <f>INDEX('Case Study II'!I11:L18, MATCH(B184, INDEX('Case Study II'!I11:L18,,1), 0), 4)</f>
        <v/>
      </c>
      <c r="J184" s="59">
        <f>C184*E184*I184</f>
        <v/>
      </c>
      <c r="K184" s="60">
        <f>J184*H184</f>
        <v/>
      </c>
      <c r="L184">
        <f>IF(D184='Interview',1,0)</f>
        <v/>
      </c>
      <c r="M184">
        <f>IF(O184&gt;F184,'Delayed','On time')</f>
        <v/>
      </c>
      <c r="N184" s="61">
        <f>IF(O184&gt;F184,O184-F184,0)</f>
        <v/>
      </c>
      <c r="O184">
        <f>DATE(2025,3,25)</f>
        <v/>
      </c>
    </row>
    <row r="185">
      <c r="A185">
        <f>'Case Study II'!B194</f>
        <v/>
      </c>
      <c r="B185">
        <f>'Case Study II'!I194</f>
        <v/>
      </c>
      <c r="C185">
        <f>'Case Study II'!D194</f>
        <v/>
      </c>
      <c r="D185">
        <f>'Case Study II'!E194</f>
        <v/>
      </c>
      <c r="E185">
        <f>'Case Study II'!F194</f>
        <v/>
      </c>
      <c r="F185">
        <f>'Case Study II'!G194</f>
        <v/>
      </c>
      <c r="G185">
        <f>INDEX('Case Study II'!I11:L18, MATCH(B185, INDEX('Case Study II'!I11:L18,,1), 0), 2)</f>
        <v/>
      </c>
      <c r="H185">
        <f>INDEX('Case Study II'!I11:L18, MATCH(B185, INDEX('Case Study II'!I11:L18,,1), 0), 3)</f>
        <v/>
      </c>
      <c r="I185">
        <f>INDEX('Case Study II'!I11:L18, MATCH(B185, INDEX('Case Study II'!I11:L18,,1), 0), 4)</f>
        <v/>
      </c>
      <c r="J185" s="59">
        <f>C185*E185*I185</f>
        <v/>
      </c>
      <c r="K185" s="60">
        <f>J185*H185</f>
        <v/>
      </c>
      <c r="L185">
        <f>IF(D185='Interview',1,0)</f>
        <v/>
      </c>
      <c r="M185">
        <f>IF(O185&gt;F185,'Delayed','On time')</f>
        <v/>
      </c>
      <c r="N185" s="61">
        <f>IF(O185&gt;F185,O185-F185,0)</f>
        <v/>
      </c>
      <c r="O185">
        <f>DATE(2025,3,25)</f>
        <v/>
      </c>
    </row>
    <row r="186">
      <c r="A186">
        <f>'Case Study II'!B195</f>
        <v/>
      </c>
      <c r="B186">
        <f>'Case Study II'!I195</f>
        <v/>
      </c>
      <c r="C186">
        <f>'Case Study II'!D195</f>
        <v/>
      </c>
      <c r="D186">
        <f>'Case Study II'!E195</f>
        <v/>
      </c>
      <c r="E186">
        <f>'Case Study II'!F195</f>
        <v/>
      </c>
      <c r="F186">
        <f>'Case Study II'!G195</f>
        <v/>
      </c>
      <c r="G186">
        <f>INDEX('Case Study II'!I11:L18, MATCH(B186, INDEX('Case Study II'!I11:L18,,1), 0), 2)</f>
        <v/>
      </c>
      <c r="H186">
        <f>INDEX('Case Study II'!I11:L18, MATCH(B186, INDEX('Case Study II'!I11:L18,,1), 0), 3)</f>
        <v/>
      </c>
      <c r="I186">
        <f>INDEX('Case Study II'!I11:L18, MATCH(B186, INDEX('Case Study II'!I11:L18,,1), 0), 4)</f>
        <v/>
      </c>
      <c r="J186" s="59">
        <f>C186*E186*I186</f>
        <v/>
      </c>
      <c r="K186" s="60">
        <f>J186*H186</f>
        <v/>
      </c>
      <c r="L186">
        <f>IF(D186='Interview',1,0)</f>
        <v/>
      </c>
      <c r="M186">
        <f>IF(O186&gt;F186,'Delayed','On time')</f>
        <v/>
      </c>
      <c r="N186" s="61">
        <f>IF(O186&gt;F186,O186-F186,0)</f>
        <v/>
      </c>
      <c r="O186">
        <f>DATE(2025,3,25)</f>
        <v/>
      </c>
    </row>
    <row r="187">
      <c r="A187">
        <f>'Case Study II'!B196</f>
        <v/>
      </c>
      <c r="B187">
        <f>'Case Study II'!I196</f>
        <v/>
      </c>
      <c r="C187">
        <f>'Case Study II'!D196</f>
        <v/>
      </c>
      <c r="D187">
        <f>'Case Study II'!E196</f>
        <v/>
      </c>
      <c r="E187">
        <f>'Case Study II'!F196</f>
        <v/>
      </c>
      <c r="F187">
        <f>'Case Study II'!G196</f>
        <v/>
      </c>
      <c r="G187">
        <f>INDEX('Case Study II'!I11:L18, MATCH(B187, INDEX('Case Study II'!I11:L18,,1), 0), 2)</f>
        <v/>
      </c>
      <c r="H187">
        <f>INDEX('Case Study II'!I11:L18, MATCH(B187, INDEX('Case Study II'!I11:L18,,1), 0), 3)</f>
        <v/>
      </c>
      <c r="I187">
        <f>INDEX('Case Study II'!I11:L18, MATCH(B187, INDEX('Case Study II'!I11:L18,,1), 0), 4)</f>
        <v/>
      </c>
      <c r="J187" s="59">
        <f>C187*E187*I187</f>
        <v/>
      </c>
      <c r="K187" s="60">
        <f>J187*H187</f>
        <v/>
      </c>
      <c r="L187">
        <f>IF(D187='Interview',1,0)</f>
        <v/>
      </c>
      <c r="M187">
        <f>IF(O187&gt;F187,'Delayed','On time')</f>
        <v/>
      </c>
      <c r="N187" s="61">
        <f>IF(O187&gt;F187,O187-F187,0)</f>
        <v/>
      </c>
      <c r="O187">
        <f>DATE(2025,3,25)</f>
        <v/>
      </c>
    </row>
    <row r="188">
      <c r="A188">
        <f>'Case Study II'!B197</f>
        <v/>
      </c>
      <c r="B188">
        <f>'Case Study II'!I197</f>
        <v/>
      </c>
      <c r="C188">
        <f>'Case Study II'!D197</f>
        <v/>
      </c>
      <c r="D188">
        <f>'Case Study II'!E197</f>
        <v/>
      </c>
      <c r="E188">
        <f>'Case Study II'!F197</f>
        <v/>
      </c>
      <c r="F188">
        <f>'Case Study II'!G197</f>
        <v/>
      </c>
      <c r="G188">
        <f>INDEX('Case Study II'!I11:L18, MATCH(B188, INDEX('Case Study II'!I11:L18,,1), 0), 2)</f>
        <v/>
      </c>
      <c r="H188">
        <f>INDEX('Case Study II'!I11:L18, MATCH(B188, INDEX('Case Study II'!I11:L18,,1), 0), 3)</f>
        <v/>
      </c>
      <c r="I188">
        <f>INDEX('Case Study II'!I11:L18, MATCH(B188, INDEX('Case Study II'!I11:L18,,1), 0), 4)</f>
        <v/>
      </c>
      <c r="J188" s="59">
        <f>C188*E188*I188</f>
        <v/>
      </c>
      <c r="K188" s="60">
        <f>J188*H188</f>
        <v/>
      </c>
      <c r="L188">
        <f>IF(D188='Interview',1,0)</f>
        <v/>
      </c>
      <c r="M188">
        <f>IF(O188&gt;F188,'Delayed','On time')</f>
        <v/>
      </c>
      <c r="N188" s="61">
        <f>IF(O188&gt;F188,O188-F188,0)</f>
        <v/>
      </c>
      <c r="O188">
        <f>DATE(2025,3,25)</f>
        <v/>
      </c>
    </row>
    <row r="189">
      <c r="A189">
        <f>'Case Study II'!B198</f>
        <v/>
      </c>
      <c r="B189">
        <f>'Case Study II'!I198</f>
        <v/>
      </c>
      <c r="C189">
        <f>'Case Study II'!D198</f>
        <v/>
      </c>
      <c r="D189">
        <f>'Case Study II'!E198</f>
        <v/>
      </c>
      <c r="E189">
        <f>'Case Study II'!F198</f>
        <v/>
      </c>
      <c r="F189">
        <f>'Case Study II'!G198</f>
        <v/>
      </c>
      <c r="G189">
        <f>INDEX('Case Study II'!I11:L18, MATCH(B189, INDEX('Case Study II'!I11:L18,,1), 0), 2)</f>
        <v/>
      </c>
      <c r="H189">
        <f>INDEX('Case Study II'!I11:L18, MATCH(B189, INDEX('Case Study II'!I11:L18,,1), 0), 3)</f>
        <v/>
      </c>
      <c r="I189">
        <f>INDEX('Case Study II'!I11:L18, MATCH(B189, INDEX('Case Study II'!I11:L18,,1), 0), 4)</f>
        <v/>
      </c>
      <c r="J189" s="59">
        <f>C189*E189*I189</f>
        <v/>
      </c>
      <c r="K189" s="60">
        <f>J189*H189</f>
        <v/>
      </c>
      <c r="L189">
        <f>IF(D189='Interview',1,0)</f>
        <v/>
      </c>
      <c r="M189">
        <f>IF(O189&gt;F189,'Delayed','On time')</f>
        <v/>
      </c>
      <c r="N189" s="61">
        <f>IF(O189&gt;F189,O189-F189,0)</f>
        <v/>
      </c>
      <c r="O189">
        <f>DATE(2025,3,25)</f>
        <v/>
      </c>
    </row>
    <row r="190">
      <c r="A190">
        <f>'Case Study II'!B199</f>
        <v/>
      </c>
      <c r="B190">
        <f>'Case Study II'!I199</f>
        <v/>
      </c>
      <c r="C190">
        <f>'Case Study II'!D199</f>
        <v/>
      </c>
      <c r="D190">
        <f>'Case Study II'!E199</f>
        <v/>
      </c>
      <c r="E190">
        <f>'Case Study II'!F199</f>
        <v/>
      </c>
      <c r="F190">
        <f>'Case Study II'!G199</f>
        <v/>
      </c>
      <c r="G190">
        <f>INDEX('Case Study II'!I11:L18, MATCH(B190, INDEX('Case Study II'!I11:L18,,1), 0), 2)</f>
        <v/>
      </c>
      <c r="H190">
        <f>INDEX('Case Study II'!I11:L18, MATCH(B190, INDEX('Case Study II'!I11:L18,,1), 0), 3)</f>
        <v/>
      </c>
      <c r="I190">
        <f>INDEX('Case Study II'!I11:L18, MATCH(B190, INDEX('Case Study II'!I11:L18,,1), 0), 4)</f>
        <v/>
      </c>
      <c r="J190" s="59">
        <f>C190*E190*I190</f>
        <v/>
      </c>
      <c r="K190" s="60">
        <f>J190*H190</f>
        <v/>
      </c>
      <c r="L190">
        <f>IF(D190='Interview',1,0)</f>
        <v/>
      </c>
      <c r="M190">
        <f>IF(O190&gt;F190,'Delayed','On time')</f>
        <v/>
      </c>
      <c r="N190" s="61">
        <f>IF(O190&gt;F190,O190-F190,0)</f>
        <v/>
      </c>
      <c r="O190">
        <f>DATE(2025,3,25)</f>
        <v/>
      </c>
    </row>
    <row r="191">
      <c r="A191">
        <f>'Case Study II'!B200</f>
        <v/>
      </c>
      <c r="B191">
        <f>'Case Study II'!I200</f>
        <v/>
      </c>
      <c r="C191">
        <f>'Case Study II'!D200</f>
        <v/>
      </c>
      <c r="D191">
        <f>'Case Study II'!E200</f>
        <v/>
      </c>
      <c r="E191">
        <f>'Case Study II'!F200</f>
        <v/>
      </c>
      <c r="F191">
        <f>'Case Study II'!G200</f>
        <v/>
      </c>
      <c r="G191">
        <f>INDEX('Case Study II'!I11:L18, MATCH(B191, INDEX('Case Study II'!I11:L18,,1), 0), 2)</f>
        <v/>
      </c>
      <c r="H191">
        <f>INDEX('Case Study II'!I11:L18, MATCH(B191, INDEX('Case Study II'!I11:L18,,1), 0), 3)</f>
        <v/>
      </c>
      <c r="I191">
        <f>INDEX('Case Study II'!I11:L18, MATCH(B191, INDEX('Case Study II'!I11:L18,,1), 0), 4)</f>
        <v/>
      </c>
      <c r="J191" s="59">
        <f>C191*E191*I191</f>
        <v/>
      </c>
      <c r="K191" s="60">
        <f>J191*H191</f>
        <v/>
      </c>
      <c r="L191">
        <f>IF(D191='Interview',1,0)</f>
        <v/>
      </c>
      <c r="M191">
        <f>IF(O191&gt;F191,'Delayed','On time')</f>
        <v/>
      </c>
      <c r="N191" s="61">
        <f>IF(O191&gt;F191,O191-F191,0)</f>
        <v/>
      </c>
      <c r="O191">
        <f>DATE(2025,3,25)</f>
        <v/>
      </c>
    </row>
    <row r="192">
      <c r="A192">
        <f>'Case Study II'!B201</f>
        <v/>
      </c>
      <c r="B192">
        <f>'Case Study II'!I201</f>
        <v/>
      </c>
      <c r="C192">
        <f>'Case Study II'!D201</f>
        <v/>
      </c>
      <c r="D192">
        <f>'Case Study II'!E201</f>
        <v/>
      </c>
      <c r="E192">
        <f>'Case Study II'!F201</f>
        <v/>
      </c>
      <c r="F192">
        <f>'Case Study II'!G201</f>
        <v/>
      </c>
      <c r="G192">
        <f>INDEX('Case Study II'!I11:L18, MATCH(B192, INDEX('Case Study II'!I11:L18,,1), 0), 2)</f>
        <v/>
      </c>
      <c r="H192">
        <f>INDEX('Case Study II'!I11:L18, MATCH(B192, INDEX('Case Study II'!I11:L18,,1), 0), 3)</f>
        <v/>
      </c>
      <c r="I192">
        <f>INDEX('Case Study II'!I11:L18, MATCH(B192, INDEX('Case Study II'!I11:L18,,1), 0), 4)</f>
        <v/>
      </c>
      <c r="J192" s="59">
        <f>C192*E192*I192</f>
        <v/>
      </c>
      <c r="K192" s="60">
        <f>J192*H192</f>
        <v/>
      </c>
      <c r="L192">
        <f>IF(D192='Interview',1,0)</f>
        <v/>
      </c>
      <c r="M192">
        <f>IF(O192&gt;F192,'Delayed','On time')</f>
        <v/>
      </c>
      <c r="N192" s="61">
        <f>IF(O192&gt;F192,O192-F192,0)</f>
        <v/>
      </c>
      <c r="O192">
        <f>DATE(2025,3,25)</f>
        <v/>
      </c>
    </row>
    <row r="193">
      <c r="A193">
        <f>'Case Study II'!B202</f>
        <v/>
      </c>
      <c r="B193">
        <f>'Case Study II'!I202</f>
        <v/>
      </c>
      <c r="C193">
        <f>'Case Study II'!D202</f>
        <v/>
      </c>
      <c r="D193">
        <f>'Case Study II'!E202</f>
        <v/>
      </c>
      <c r="E193">
        <f>'Case Study II'!F202</f>
        <v/>
      </c>
      <c r="F193">
        <f>'Case Study II'!G202</f>
        <v/>
      </c>
      <c r="G193">
        <f>INDEX('Case Study II'!I11:L18, MATCH(B193, INDEX('Case Study II'!I11:L18,,1), 0), 2)</f>
        <v/>
      </c>
      <c r="H193">
        <f>INDEX('Case Study II'!I11:L18, MATCH(B193, INDEX('Case Study II'!I11:L18,,1), 0), 3)</f>
        <v/>
      </c>
      <c r="I193">
        <f>INDEX('Case Study II'!I11:L18, MATCH(B193, INDEX('Case Study II'!I11:L18,,1), 0), 4)</f>
        <v/>
      </c>
      <c r="J193" s="59">
        <f>C193*E193*I193</f>
        <v/>
      </c>
      <c r="K193" s="60">
        <f>J193*H193</f>
        <v/>
      </c>
      <c r="L193">
        <f>IF(D193='Interview',1,0)</f>
        <v/>
      </c>
      <c r="M193">
        <f>IF(O193&gt;F193,'Delayed','On time')</f>
        <v/>
      </c>
      <c r="N193" s="61">
        <f>IF(O193&gt;F193,O193-F193,0)</f>
        <v/>
      </c>
      <c r="O193">
        <f>DATE(2025,3,25)</f>
        <v/>
      </c>
    </row>
    <row r="194">
      <c r="A194">
        <f>'Case Study II'!B203</f>
        <v/>
      </c>
      <c r="B194">
        <f>'Case Study II'!I203</f>
        <v/>
      </c>
      <c r="C194">
        <f>'Case Study II'!D203</f>
        <v/>
      </c>
      <c r="D194">
        <f>'Case Study II'!E203</f>
        <v/>
      </c>
      <c r="E194">
        <f>'Case Study II'!F203</f>
        <v/>
      </c>
      <c r="F194">
        <f>'Case Study II'!G203</f>
        <v/>
      </c>
      <c r="G194">
        <f>INDEX('Case Study II'!I11:L18, MATCH(B194, INDEX('Case Study II'!I11:L18,,1), 0), 2)</f>
        <v/>
      </c>
      <c r="H194">
        <f>INDEX('Case Study II'!I11:L18, MATCH(B194, INDEX('Case Study II'!I11:L18,,1), 0), 3)</f>
        <v/>
      </c>
      <c r="I194">
        <f>INDEX('Case Study II'!I11:L18, MATCH(B194, INDEX('Case Study II'!I11:L18,,1), 0), 4)</f>
        <v/>
      </c>
      <c r="J194" s="59">
        <f>C194*E194*I194</f>
        <v/>
      </c>
      <c r="K194" s="60">
        <f>J194*H194</f>
        <v/>
      </c>
      <c r="L194">
        <f>IF(D194='Interview',1,0)</f>
        <v/>
      </c>
      <c r="M194">
        <f>IF(O194&gt;F194,'Delayed','On time')</f>
        <v/>
      </c>
      <c r="N194" s="61">
        <f>IF(O194&gt;F194,O194-F194,0)</f>
        <v/>
      </c>
      <c r="O194">
        <f>DATE(2025,3,25)</f>
        <v/>
      </c>
    </row>
    <row r="195">
      <c r="A195">
        <f>'Case Study II'!B204</f>
        <v/>
      </c>
      <c r="B195">
        <f>'Case Study II'!I204</f>
        <v/>
      </c>
      <c r="C195">
        <f>'Case Study II'!D204</f>
        <v/>
      </c>
      <c r="D195">
        <f>'Case Study II'!E204</f>
        <v/>
      </c>
      <c r="E195">
        <f>'Case Study II'!F204</f>
        <v/>
      </c>
      <c r="F195">
        <f>'Case Study II'!G204</f>
        <v/>
      </c>
      <c r="G195">
        <f>INDEX('Case Study II'!I11:L18, MATCH(B195, INDEX('Case Study II'!I11:L18,,1), 0), 2)</f>
        <v/>
      </c>
      <c r="H195">
        <f>INDEX('Case Study II'!I11:L18, MATCH(B195, INDEX('Case Study II'!I11:L18,,1), 0), 3)</f>
        <v/>
      </c>
      <c r="I195">
        <f>INDEX('Case Study II'!I11:L18, MATCH(B195, INDEX('Case Study II'!I11:L18,,1), 0), 4)</f>
        <v/>
      </c>
      <c r="J195" s="59">
        <f>C195*E195*I195</f>
        <v/>
      </c>
      <c r="K195" s="60">
        <f>J195*H195</f>
        <v/>
      </c>
      <c r="L195">
        <f>IF(D195='Interview',1,0)</f>
        <v/>
      </c>
      <c r="M195">
        <f>IF(O195&gt;F195,'Delayed','On time')</f>
        <v/>
      </c>
      <c r="N195" s="61">
        <f>IF(O195&gt;F195,O195-F195,0)</f>
        <v/>
      </c>
      <c r="O195">
        <f>DATE(2025,3,25)</f>
        <v/>
      </c>
    </row>
    <row r="196">
      <c r="A196">
        <f>'Case Study II'!B205</f>
        <v/>
      </c>
      <c r="B196">
        <f>'Case Study II'!I205</f>
        <v/>
      </c>
      <c r="C196">
        <f>'Case Study II'!D205</f>
        <v/>
      </c>
      <c r="D196">
        <f>'Case Study II'!E205</f>
        <v/>
      </c>
      <c r="E196">
        <f>'Case Study II'!F205</f>
        <v/>
      </c>
      <c r="F196">
        <f>'Case Study II'!G205</f>
        <v/>
      </c>
      <c r="G196">
        <f>INDEX('Case Study II'!I11:L18, MATCH(B196, INDEX('Case Study II'!I11:L18,,1), 0), 2)</f>
        <v/>
      </c>
      <c r="H196">
        <f>INDEX('Case Study II'!I11:L18, MATCH(B196, INDEX('Case Study II'!I11:L18,,1), 0), 3)</f>
        <v/>
      </c>
      <c r="I196">
        <f>INDEX('Case Study II'!I11:L18, MATCH(B196, INDEX('Case Study II'!I11:L18,,1), 0), 4)</f>
        <v/>
      </c>
      <c r="J196" s="59">
        <f>C196*E196*I196</f>
        <v/>
      </c>
      <c r="K196" s="60">
        <f>J196*H196</f>
        <v/>
      </c>
      <c r="L196">
        <f>IF(D196='Interview',1,0)</f>
        <v/>
      </c>
      <c r="M196">
        <f>IF(O196&gt;F196,'Delayed','On time')</f>
        <v/>
      </c>
      <c r="N196" s="61">
        <f>IF(O196&gt;F196,O196-F196,0)</f>
        <v/>
      </c>
      <c r="O196">
        <f>DATE(2025,3,25)</f>
        <v/>
      </c>
    </row>
    <row r="197">
      <c r="A197">
        <f>'Case Study II'!B206</f>
        <v/>
      </c>
      <c r="B197">
        <f>'Case Study II'!I206</f>
        <v/>
      </c>
      <c r="C197">
        <f>'Case Study II'!D206</f>
        <v/>
      </c>
      <c r="D197">
        <f>'Case Study II'!E206</f>
        <v/>
      </c>
      <c r="E197">
        <f>'Case Study II'!F206</f>
        <v/>
      </c>
      <c r="F197">
        <f>'Case Study II'!G206</f>
        <v/>
      </c>
      <c r="G197">
        <f>INDEX('Case Study II'!I11:L18, MATCH(B197, INDEX('Case Study II'!I11:L18,,1), 0), 2)</f>
        <v/>
      </c>
      <c r="H197">
        <f>INDEX('Case Study II'!I11:L18, MATCH(B197, INDEX('Case Study II'!I11:L18,,1), 0), 3)</f>
        <v/>
      </c>
      <c r="I197">
        <f>INDEX('Case Study II'!I11:L18, MATCH(B197, INDEX('Case Study II'!I11:L18,,1), 0), 4)</f>
        <v/>
      </c>
      <c r="J197" s="59">
        <f>C197*E197*I197</f>
        <v/>
      </c>
      <c r="K197" s="60">
        <f>J197*H197</f>
        <v/>
      </c>
      <c r="L197">
        <f>IF(D197='Interview',1,0)</f>
        <v/>
      </c>
      <c r="M197">
        <f>IF(O197&gt;F197,'Delayed','On time')</f>
        <v/>
      </c>
      <c r="N197" s="61">
        <f>IF(O197&gt;F197,O197-F197,0)</f>
        <v/>
      </c>
      <c r="O197">
        <f>DATE(2025,3,25)</f>
        <v/>
      </c>
    </row>
    <row r="198">
      <c r="A198">
        <f>'Case Study II'!B207</f>
        <v/>
      </c>
      <c r="B198">
        <f>'Case Study II'!I207</f>
        <v/>
      </c>
      <c r="C198">
        <f>'Case Study II'!D207</f>
        <v/>
      </c>
      <c r="D198">
        <f>'Case Study II'!E207</f>
        <v/>
      </c>
      <c r="E198">
        <f>'Case Study II'!F207</f>
        <v/>
      </c>
      <c r="F198">
        <f>'Case Study II'!G207</f>
        <v/>
      </c>
      <c r="G198">
        <f>INDEX('Case Study II'!I11:L18, MATCH(B198, INDEX('Case Study II'!I11:L18,,1), 0), 2)</f>
        <v/>
      </c>
      <c r="H198">
        <f>INDEX('Case Study II'!I11:L18, MATCH(B198, INDEX('Case Study II'!I11:L18,,1), 0), 3)</f>
        <v/>
      </c>
      <c r="I198">
        <f>INDEX('Case Study II'!I11:L18, MATCH(B198, INDEX('Case Study II'!I11:L18,,1), 0), 4)</f>
        <v/>
      </c>
      <c r="J198" s="59">
        <f>C198*E198*I198</f>
        <v/>
      </c>
      <c r="K198" s="60">
        <f>J198*H198</f>
        <v/>
      </c>
      <c r="L198">
        <f>IF(D198='Interview',1,0)</f>
        <v/>
      </c>
      <c r="M198">
        <f>IF(O198&gt;F198,'Delayed','On time')</f>
        <v/>
      </c>
      <c r="N198" s="61">
        <f>IF(O198&gt;F198,O198-F198,0)</f>
        <v/>
      </c>
      <c r="O198">
        <f>DATE(2025,3,25)</f>
        <v/>
      </c>
    </row>
    <row r="199">
      <c r="A199">
        <f>'Case Study II'!B208</f>
        <v/>
      </c>
      <c r="B199">
        <f>'Case Study II'!I208</f>
        <v/>
      </c>
      <c r="C199">
        <f>'Case Study II'!D208</f>
        <v/>
      </c>
      <c r="D199">
        <f>'Case Study II'!E208</f>
        <v/>
      </c>
      <c r="E199">
        <f>'Case Study II'!F208</f>
        <v/>
      </c>
      <c r="F199">
        <f>'Case Study II'!G208</f>
        <v/>
      </c>
      <c r="G199">
        <f>INDEX('Case Study II'!I11:L18, MATCH(B199, INDEX('Case Study II'!I11:L18,,1), 0), 2)</f>
        <v/>
      </c>
      <c r="H199">
        <f>INDEX('Case Study II'!I11:L18, MATCH(B199, INDEX('Case Study II'!I11:L18,,1), 0), 3)</f>
        <v/>
      </c>
      <c r="I199">
        <f>INDEX('Case Study II'!I11:L18, MATCH(B199, INDEX('Case Study II'!I11:L18,,1), 0), 4)</f>
        <v/>
      </c>
      <c r="J199" s="59">
        <f>C199*E199*I199</f>
        <v/>
      </c>
      <c r="K199" s="60">
        <f>J199*H199</f>
        <v/>
      </c>
      <c r="L199">
        <f>IF(D199='Interview',1,0)</f>
        <v/>
      </c>
      <c r="M199">
        <f>IF(O199&gt;F199,'Delayed','On time')</f>
        <v/>
      </c>
      <c r="N199" s="61">
        <f>IF(O199&gt;F199,O199-F199,0)</f>
        <v/>
      </c>
      <c r="O199">
        <f>DATE(2025,3,25)</f>
        <v/>
      </c>
    </row>
    <row r="200">
      <c r="A200">
        <f>'Case Study II'!B209</f>
        <v/>
      </c>
      <c r="B200">
        <f>'Case Study II'!I209</f>
        <v/>
      </c>
      <c r="C200">
        <f>'Case Study II'!D209</f>
        <v/>
      </c>
      <c r="D200">
        <f>'Case Study II'!E209</f>
        <v/>
      </c>
      <c r="E200">
        <f>'Case Study II'!F209</f>
        <v/>
      </c>
      <c r="F200">
        <f>'Case Study II'!G209</f>
        <v/>
      </c>
      <c r="G200">
        <f>INDEX('Case Study II'!I11:L18, MATCH(B200, INDEX('Case Study II'!I11:L18,,1), 0), 2)</f>
        <v/>
      </c>
      <c r="H200">
        <f>INDEX('Case Study II'!I11:L18, MATCH(B200, INDEX('Case Study II'!I11:L18,,1), 0), 3)</f>
        <v/>
      </c>
      <c r="I200">
        <f>INDEX('Case Study II'!I11:L18, MATCH(B200, INDEX('Case Study II'!I11:L18,,1), 0), 4)</f>
        <v/>
      </c>
      <c r="J200" s="59">
        <f>C200*E200*I200</f>
        <v/>
      </c>
      <c r="K200" s="60">
        <f>J200*H200</f>
        <v/>
      </c>
      <c r="L200">
        <f>IF(D200='Interview',1,0)</f>
        <v/>
      </c>
      <c r="M200">
        <f>IF(O200&gt;F200,'Delayed','On time')</f>
        <v/>
      </c>
      <c r="N200" s="61">
        <f>IF(O200&gt;F200,O200-F200,0)</f>
        <v/>
      </c>
      <c r="O200">
        <f>DATE(2025,3,25)</f>
        <v/>
      </c>
    </row>
    <row r="201">
      <c r="A201">
        <f>'Case Study II'!B210</f>
        <v/>
      </c>
      <c r="B201">
        <f>'Case Study II'!I210</f>
        <v/>
      </c>
      <c r="C201">
        <f>'Case Study II'!D210</f>
        <v/>
      </c>
      <c r="D201">
        <f>'Case Study II'!E210</f>
        <v/>
      </c>
      <c r="E201">
        <f>'Case Study II'!F210</f>
        <v/>
      </c>
      <c r="F201">
        <f>'Case Study II'!G210</f>
        <v/>
      </c>
      <c r="G201">
        <f>INDEX('Case Study II'!I11:L18, MATCH(B201, INDEX('Case Study II'!I11:L18,,1), 0), 2)</f>
        <v/>
      </c>
      <c r="H201">
        <f>INDEX('Case Study II'!I11:L18, MATCH(B201, INDEX('Case Study II'!I11:L18,,1), 0), 3)</f>
        <v/>
      </c>
      <c r="I201">
        <f>INDEX('Case Study II'!I11:L18, MATCH(B201, INDEX('Case Study II'!I11:L18,,1), 0), 4)</f>
        <v/>
      </c>
      <c r="J201" s="59">
        <f>C201*E201*I201</f>
        <v/>
      </c>
      <c r="K201" s="60">
        <f>J201*H201</f>
        <v/>
      </c>
      <c r="L201">
        <f>IF(D201='Interview',1,0)</f>
        <v/>
      </c>
      <c r="M201">
        <f>IF(O201&gt;F201,'Delayed','On time')</f>
        <v/>
      </c>
      <c r="N201" s="61">
        <f>IF(O201&gt;F201,O201-F201,0)</f>
        <v/>
      </c>
      <c r="O201">
        <f>DATE(2025,3,25)</f>
        <v/>
      </c>
    </row>
    <row r="202">
      <c r="A202">
        <f>'Case Study II'!B211</f>
        <v/>
      </c>
      <c r="B202">
        <f>'Case Study II'!I211</f>
        <v/>
      </c>
      <c r="C202">
        <f>'Case Study II'!D211</f>
        <v/>
      </c>
      <c r="D202">
        <f>'Case Study II'!E211</f>
        <v/>
      </c>
      <c r="E202">
        <f>'Case Study II'!F211</f>
        <v/>
      </c>
      <c r="F202">
        <f>'Case Study II'!G211</f>
        <v/>
      </c>
      <c r="G202">
        <f>INDEX('Case Study II'!I11:L18, MATCH(B202, INDEX('Case Study II'!I11:L18,,1), 0), 2)</f>
        <v/>
      </c>
      <c r="H202">
        <f>INDEX('Case Study II'!I11:L18, MATCH(B202, INDEX('Case Study II'!I11:L18,,1), 0), 3)</f>
        <v/>
      </c>
      <c r="I202">
        <f>INDEX('Case Study II'!I11:L18, MATCH(B202, INDEX('Case Study II'!I11:L18,,1), 0), 4)</f>
        <v/>
      </c>
      <c r="J202" s="59">
        <f>C202*E202*I202</f>
        <v/>
      </c>
      <c r="K202" s="60">
        <f>J202*H202</f>
        <v/>
      </c>
      <c r="L202">
        <f>IF(D202='Interview',1,0)</f>
        <v/>
      </c>
      <c r="M202">
        <f>IF(O202&gt;F202,'Delayed','On time')</f>
        <v/>
      </c>
      <c r="N202" s="61">
        <f>IF(O202&gt;F202,O202-F202,0)</f>
        <v/>
      </c>
      <c r="O202">
        <f>DATE(2025,3,25)</f>
        <v/>
      </c>
    </row>
    <row r="203">
      <c r="A203">
        <f>'Case Study II'!B212</f>
        <v/>
      </c>
      <c r="B203">
        <f>'Case Study II'!I212</f>
        <v/>
      </c>
      <c r="C203">
        <f>'Case Study II'!D212</f>
        <v/>
      </c>
      <c r="D203">
        <f>'Case Study II'!E212</f>
        <v/>
      </c>
      <c r="E203">
        <f>'Case Study II'!F212</f>
        <v/>
      </c>
      <c r="F203">
        <f>'Case Study II'!G212</f>
        <v/>
      </c>
      <c r="G203">
        <f>INDEX('Case Study II'!I11:L18, MATCH(B203, INDEX('Case Study II'!I11:L18,,1), 0), 2)</f>
        <v/>
      </c>
      <c r="H203">
        <f>INDEX('Case Study II'!I11:L18, MATCH(B203, INDEX('Case Study II'!I11:L18,,1), 0), 3)</f>
        <v/>
      </c>
      <c r="I203">
        <f>INDEX('Case Study II'!I11:L18, MATCH(B203, INDEX('Case Study II'!I11:L18,,1), 0), 4)</f>
        <v/>
      </c>
      <c r="J203" s="59">
        <f>C203*E203*I203</f>
        <v/>
      </c>
      <c r="K203" s="60">
        <f>J203*H203</f>
        <v/>
      </c>
      <c r="L203">
        <f>IF(D203='Interview',1,0)</f>
        <v/>
      </c>
      <c r="M203">
        <f>IF(O203&gt;F203,'Delayed','On time')</f>
        <v/>
      </c>
      <c r="N203" s="61">
        <f>IF(O203&gt;F203,O203-F203,0)</f>
        <v/>
      </c>
      <c r="O203">
        <f>DATE(2025,3,25)</f>
        <v/>
      </c>
    </row>
    <row r="204">
      <c r="A204">
        <f>'Case Study II'!B213</f>
        <v/>
      </c>
      <c r="B204">
        <f>'Case Study II'!I213</f>
        <v/>
      </c>
      <c r="C204">
        <f>'Case Study II'!D213</f>
        <v/>
      </c>
      <c r="D204">
        <f>'Case Study II'!E213</f>
        <v/>
      </c>
      <c r="E204">
        <f>'Case Study II'!F213</f>
        <v/>
      </c>
      <c r="F204">
        <f>'Case Study II'!G213</f>
        <v/>
      </c>
      <c r="G204">
        <f>INDEX('Case Study II'!I11:L18, MATCH(B204, INDEX('Case Study II'!I11:L18,,1), 0), 2)</f>
        <v/>
      </c>
      <c r="H204">
        <f>INDEX('Case Study II'!I11:L18, MATCH(B204, INDEX('Case Study II'!I11:L18,,1), 0), 3)</f>
        <v/>
      </c>
      <c r="I204">
        <f>INDEX('Case Study II'!I11:L18, MATCH(B204, INDEX('Case Study II'!I11:L18,,1), 0), 4)</f>
        <v/>
      </c>
      <c r="J204" s="59">
        <f>C204*E204*I204</f>
        <v/>
      </c>
      <c r="K204" s="60">
        <f>J204*H204</f>
        <v/>
      </c>
      <c r="L204">
        <f>IF(D204='Interview',1,0)</f>
        <v/>
      </c>
      <c r="M204">
        <f>IF(O204&gt;F204,'Delayed','On time')</f>
        <v/>
      </c>
      <c r="N204" s="61">
        <f>IF(O204&gt;F204,O204-F204,0)</f>
        <v/>
      </c>
      <c r="O204">
        <f>DATE(2025,3,25)</f>
        <v/>
      </c>
    </row>
    <row r="205">
      <c r="A205">
        <f>'Case Study II'!B214</f>
        <v/>
      </c>
      <c r="B205">
        <f>'Case Study II'!I214</f>
        <v/>
      </c>
      <c r="C205">
        <f>'Case Study II'!D214</f>
        <v/>
      </c>
      <c r="D205">
        <f>'Case Study II'!E214</f>
        <v/>
      </c>
      <c r="E205">
        <f>'Case Study II'!F214</f>
        <v/>
      </c>
      <c r="F205">
        <f>'Case Study II'!G214</f>
        <v/>
      </c>
      <c r="G205">
        <f>INDEX('Case Study II'!I11:L18, MATCH(B205, INDEX('Case Study II'!I11:L18,,1), 0), 2)</f>
        <v/>
      </c>
      <c r="H205">
        <f>INDEX('Case Study II'!I11:L18, MATCH(B205, INDEX('Case Study II'!I11:L18,,1), 0), 3)</f>
        <v/>
      </c>
      <c r="I205">
        <f>INDEX('Case Study II'!I11:L18, MATCH(B205, INDEX('Case Study II'!I11:L18,,1), 0), 4)</f>
        <v/>
      </c>
      <c r="J205" s="59">
        <f>C205*E205*I205</f>
        <v/>
      </c>
      <c r="K205" s="60">
        <f>J205*H205</f>
        <v/>
      </c>
      <c r="L205">
        <f>IF(D205='Interview',1,0)</f>
        <v/>
      </c>
      <c r="M205">
        <f>IF(O205&gt;F205,'Delayed','On time')</f>
        <v/>
      </c>
      <c r="N205" s="61">
        <f>IF(O205&gt;F205,O205-F205,0)</f>
        <v/>
      </c>
      <c r="O205">
        <f>DATE(2025,3,25)</f>
        <v/>
      </c>
    </row>
    <row r="206">
      <c r="A206">
        <f>'Case Study II'!B215</f>
        <v/>
      </c>
      <c r="B206">
        <f>'Case Study II'!I215</f>
        <v/>
      </c>
      <c r="C206">
        <f>'Case Study II'!D215</f>
        <v/>
      </c>
      <c r="D206">
        <f>'Case Study II'!E215</f>
        <v/>
      </c>
      <c r="E206">
        <f>'Case Study II'!F215</f>
        <v/>
      </c>
      <c r="F206">
        <f>'Case Study II'!G215</f>
        <v/>
      </c>
      <c r="G206">
        <f>INDEX('Case Study II'!I11:L18, MATCH(B206, INDEX('Case Study II'!I11:L18,,1), 0), 2)</f>
        <v/>
      </c>
      <c r="H206">
        <f>INDEX('Case Study II'!I11:L18, MATCH(B206, INDEX('Case Study II'!I11:L18,,1), 0), 3)</f>
        <v/>
      </c>
      <c r="I206">
        <f>INDEX('Case Study II'!I11:L18, MATCH(B206, INDEX('Case Study II'!I11:L18,,1), 0), 4)</f>
        <v/>
      </c>
      <c r="J206" s="59">
        <f>C206*E206*I206</f>
        <v/>
      </c>
      <c r="K206" s="60">
        <f>J206*H206</f>
        <v/>
      </c>
      <c r="L206">
        <f>IF(D206='Interview',1,0)</f>
        <v/>
      </c>
      <c r="M206">
        <f>IF(O206&gt;F206,'Delayed','On time')</f>
        <v/>
      </c>
      <c r="N206" s="61">
        <f>IF(O206&gt;F206,O206-F206,0)</f>
        <v/>
      </c>
      <c r="O206">
        <f>DATE(2025,3,25)</f>
        <v/>
      </c>
    </row>
    <row r="207">
      <c r="A207">
        <f>'Case Study II'!B216</f>
        <v/>
      </c>
      <c r="B207">
        <f>'Case Study II'!I216</f>
        <v/>
      </c>
      <c r="C207">
        <f>'Case Study II'!D216</f>
        <v/>
      </c>
      <c r="D207">
        <f>'Case Study II'!E216</f>
        <v/>
      </c>
      <c r="E207">
        <f>'Case Study II'!F216</f>
        <v/>
      </c>
      <c r="F207">
        <f>'Case Study II'!G216</f>
        <v/>
      </c>
      <c r="G207">
        <f>INDEX('Case Study II'!I11:L18, MATCH(B207, INDEX('Case Study II'!I11:L18,,1), 0), 2)</f>
        <v/>
      </c>
      <c r="H207">
        <f>INDEX('Case Study II'!I11:L18, MATCH(B207, INDEX('Case Study II'!I11:L18,,1), 0), 3)</f>
        <v/>
      </c>
      <c r="I207">
        <f>INDEX('Case Study II'!I11:L18, MATCH(B207, INDEX('Case Study II'!I11:L18,,1), 0), 4)</f>
        <v/>
      </c>
      <c r="J207" s="59">
        <f>C207*E207*I207</f>
        <v/>
      </c>
      <c r="K207" s="60">
        <f>J207*H207</f>
        <v/>
      </c>
      <c r="L207">
        <f>IF(D207='Interview',1,0)</f>
        <v/>
      </c>
      <c r="M207">
        <f>IF(O207&gt;F207,'Delayed','On time')</f>
        <v/>
      </c>
      <c r="N207" s="61">
        <f>IF(O207&gt;F207,O207-F207,0)</f>
        <v/>
      </c>
      <c r="O207">
        <f>DATE(2025,3,25)</f>
        <v/>
      </c>
    </row>
    <row r="208">
      <c r="A208">
        <f>'Case Study II'!B217</f>
        <v/>
      </c>
      <c r="B208">
        <f>'Case Study II'!I217</f>
        <v/>
      </c>
      <c r="C208">
        <f>'Case Study II'!D217</f>
        <v/>
      </c>
      <c r="D208">
        <f>'Case Study II'!E217</f>
        <v/>
      </c>
      <c r="E208">
        <f>'Case Study II'!F217</f>
        <v/>
      </c>
      <c r="F208">
        <f>'Case Study II'!G217</f>
        <v/>
      </c>
      <c r="G208">
        <f>INDEX('Case Study II'!I11:L18, MATCH(B208, INDEX('Case Study II'!I11:L18,,1), 0), 2)</f>
        <v/>
      </c>
      <c r="H208">
        <f>INDEX('Case Study II'!I11:L18, MATCH(B208, INDEX('Case Study II'!I11:L18,,1), 0), 3)</f>
        <v/>
      </c>
      <c r="I208">
        <f>INDEX('Case Study II'!I11:L18, MATCH(B208, INDEX('Case Study II'!I11:L18,,1), 0), 4)</f>
        <v/>
      </c>
      <c r="J208" s="59">
        <f>C208*E208*I208</f>
        <v/>
      </c>
      <c r="K208" s="60">
        <f>J208*H208</f>
        <v/>
      </c>
      <c r="L208">
        <f>IF(D208='Interview',1,0)</f>
        <v/>
      </c>
      <c r="M208">
        <f>IF(O208&gt;F208,'Delayed','On time')</f>
        <v/>
      </c>
      <c r="N208" s="61">
        <f>IF(O208&gt;F208,O208-F208,0)</f>
        <v/>
      </c>
      <c r="O208">
        <f>DATE(2025,3,25)</f>
        <v/>
      </c>
    </row>
    <row r="209"/>
  </sheetData>
  <conditionalFormatting sqref="M2:M208">
    <cfRule type="cellIs" priority="1" operator="equal" dxfId="0">
      <formula>"Delayed"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47" t="inlineStr">
        <is>
          <t>Case Study II – Rewards Dashboard</t>
        </is>
      </c>
    </row>
    <row r="3">
      <c r="A3" s="58" t="inlineStr">
        <is>
          <t>Country</t>
        </is>
      </c>
      <c r="B3" s="58" t="inlineStr">
        <is>
          <t>Local Currency</t>
        </is>
      </c>
      <c r="C3" s="58" t="inlineStr">
        <is>
          <t>Total Reward (Local)</t>
        </is>
      </c>
      <c r="D3" s="58" t="inlineStr">
        <is>
          <t>Exchange to USD</t>
        </is>
      </c>
      <c r="E3" s="58" t="inlineStr">
        <is>
          <t>Total Reward (USD)</t>
        </is>
      </c>
      <c r="F3" s="58" t="inlineStr">
        <is>
          <t>Budget Limit (Local)</t>
        </is>
      </c>
      <c r="G3" s="58" t="inlineStr">
        <is>
          <t>Budget Limit (USD)</t>
        </is>
      </c>
      <c r="H3" s="58" t="inlineStr">
        <is>
          <t>Over Budget?</t>
        </is>
      </c>
    </row>
    <row r="4">
      <c r="A4" t="inlineStr">
        <is>
          <t>USA</t>
        </is>
      </c>
      <c r="B4">
        <f>INDEX('CS II - Calc'!G:G, MATCH(A4, 'CS II - Calc'!B:B, 0))</f>
        <v/>
      </c>
      <c r="C4">
        <f>SUMIF('CS II - Calc'!B:B, A4, 'CS II - Calc'!J:J)</f>
        <v/>
      </c>
      <c r="D4">
        <f>INDEX('CS II - Calc'!H:H, MATCH(A4, 'CS II - Calc'!B:B, 0))</f>
        <v/>
      </c>
      <c r="E4">
        <f>SUMIF('CS II - Calc'!B:B, A4, 'CS II - Calc'!K:K)</f>
        <v/>
      </c>
      <c r="F4" t="n">
        <v>15000</v>
      </c>
      <c r="G4">
        <f>D4*F4</f>
        <v/>
      </c>
      <c r="H4">
        <f>IF(E4&gt;G4,'YES','NO')</f>
        <v/>
      </c>
    </row>
    <row r="5">
      <c r="A5" t="inlineStr">
        <is>
          <t>India</t>
        </is>
      </c>
      <c r="B5">
        <f>INDEX('CS II - Calc'!G:G, MATCH(A5, 'CS II - Calc'!B:B, 0))</f>
        <v/>
      </c>
      <c r="C5">
        <f>SUMIF('CS II - Calc'!B:B, A5, 'CS II - Calc'!J:J)</f>
        <v/>
      </c>
      <c r="D5">
        <f>INDEX('CS II - Calc'!H:H, MATCH(A5, 'CS II - Calc'!B:B, 0))</f>
        <v/>
      </c>
      <c r="E5">
        <f>SUMIF('CS II - Calc'!B:B, A5, 'CS II - Calc'!K:K)</f>
        <v/>
      </c>
      <c r="F5" t="n">
        <v>100000</v>
      </c>
      <c r="G5">
        <f>D5*F5</f>
        <v/>
      </c>
      <c r="H5">
        <f>IF(E5&gt;G5,'YES','NO')</f>
        <v/>
      </c>
    </row>
    <row r="6">
      <c r="A6" t="inlineStr">
        <is>
          <t>UK</t>
        </is>
      </c>
      <c r="B6">
        <f>INDEX('CS II - Calc'!G:G, MATCH(A6, 'CS II - Calc'!B:B, 0))</f>
        <v/>
      </c>
      <c r="C6">
        <f>SUMIF('CS II - Calc'!B:B, A6, 'CS II - Calc'!J:J)</f>
        <v/>
      </c>
      <c r="D6">
        <f>INDEX('CS II - Calc'!H:H, MATCH(A6, 'CS II - Calc'!B:B, 0))</f>
        <v/>
      </c>
      <c r="E6">
        <f>SUMIF('CS II - Calc'!B:B, A6, 'CS II - Calc'!K:K)</f>
        <v/>
      </c>
      <c r="F6" t="n">
        <v>4000</v>
      </c>
      <c r="G6">
        <f>D6*F6</f>
        <v/>
      </c>
      <c r="H6">
        <f>IF(E6&gt;G6,'YES','NO')</f>
        <v/>
      </c>
    </row>
    <row r="7">
      <c r="A7" t="inlineStr">
        <is>
          <t>Australia</t>
        </is>
      </c>
      <c r="B7">
        <f>INDEX('CS II - Calc'!G:G, MATCH(A7, 'CS II - Calc'!B:B, 0))</f>
        <v/>
      </c>
      <c r="C7">
        <f>SUMIF('CS II - Calc'!B:B, A7, 'CS II - Calc'!J:J)</f>
        <v/>
      </c>
      <c r="D7">
        <f>INDEX('CS II - Calc'!H:H, MATCH(A7, 'CS II - Calc'!B:B, 0))</f>
        <v/>
      </c>
      <c r="E7">
        <f>SUMIF('CS II - Calc'!B:B, A7, 'CS II - Calc'!K:K)</f>
        <v/>
      </c>
      <c r="F7" t="n">
        <v>3000</v>
      </c>
      <c r="G7">
        <f>D7*F7</f>
        <v/>
      </c>
      <c r="H7">
        <f>IF(E7&gt;G7,'YES','NO')</f>
        <v/>
      </c>
    </row>
    <row r="8">
      <c r="A8" t="inlineStr">
        <is>
          <t>Spain</t>
        </is>
      </c>
      <c r="B8">
        <f>INDEX('CS II - Calc'!G:G, MATCH(A8, 'CS II - Calc'!B:B, 0))</f>
        <v/>
      </c>
      <c r="C8">
        <f>SUMIF('CS II - Calc'!B:B, A8, 'CS II - Calc'!J:J)</f>
        <v/>
      </c>
      <c r="D8">
        <f>INDEX('CS II - Calc'!H:H, MATCH(A8, 'CS II - Calc'!B:B, 0))</f>
        <v/>
      </c>
      <c r="E8">
        <f>SUMIF('CS II - Calc'!B:B, A8, 'CS II - Calc'!K:K)</f>
        <v/>
      </c>
      <c r="F8" t="n">
        <v>4000</v>
      </c>
      <c r="G8">
        <f>D8*F8</f>
        <v/>
      </c>
      <c r="H8">
        <f>IF(E8&gt;G8,'YES','NO')</f>
        <v/>
      </c>
    </row>
    <row r="9">
      <c r="A9" t="inlineStr">
        <is>
          <t>Netherlands</t>
        </is>
      </c>
      <c r="B9">
        <f>INDEX('CS II - Calc'!G:G, MATCH(A9, 'CS II - Calc'!B:B, 0))</f>
        <v/>
      </c>
      <c r="C9">
        <f>SUMIF('CS II - Calc'!B:B, A9, 'CS II - Calc'!J:J)</f>
        <v/>
      </c>
      <c r="D9">
        <f>INDEX('CS II - Calc'!H:H, MATCH(A9, 'CS II - Calc'!B:B, 0))</f>
        <v/>
      </c>
      <c r="E9">
        <f>SUMIF('CS II - Calc'!B:B, A9, 'CS II - Calc'!K:K)</f>
        <v/>
      </c>
      <c r="F9" t="n">
        <v>4000</v>
      </c>
      <c r="G9">
        <f>D9*F9</f>
        <v/>
      </c>
      <c r="H9">
        <f>IF(E9&gt;G9,'YES','NO')</f>
        <v/>
      </c>
    </row>
    <row r="10">
      <c r="A10" t="inlineStr">
        <is>
          <t>Germany</t>
        </is>
      </c>
      <c r="B10">
        <f>INDEX('CS II - Calc'!G:G, MATCH(A10, 'CS II - Calc'!B:B, 0))</f>
        <v/>
      </c>
      <c r="C10">
        <f>SUMIF('CS II - Calc'!B:B, A10, 'CS II - Calc'!J:J)</f>
        <v/>
      </c>
      <c r="D10">
        <f>INDEX('CS II - Calc'!H:H, MATCH(A10, 'CS II - Calc'!B:B, 0))</f>
        <v/>
      </c>
      <c r="E10">
        <f>SUMIF('CS II - Calc'!B:B, A10, 'CS II - Calc'!K:K)</f>
        <v/>
      </c>
      <c r="F10" t="n">
        <v>4000</v>
      </c>
      <c r="G10">
        <f>D10*F10</f>
        <v/>
      </c>
      <c r="H10">
        <f>IF(E10&gt;G10,'YES','NO')</f>
        <v/>
      </c>
    </row>
    <row r="11">
      <c r="A11" t="inlineStr">
        <is>
          <t>Canada</t>
        </is>
      </c>
      <c r="B11">
        <f>INDEX('CS II - Calc'!G:G, MATCH(A11, 'CS II - Calc'!B:B, 0))</f>
        <v/>
      </c>
      <c r="C11">
        <f>SUMIF('CS II - Calc'!B:B, A11, 'CS II - Calc'!J:J)</f>
        <v/>
      </c>
      <c r="D11">
        <f>INDEX('CS II - Calc'!H:H, MATCH(A11, 'CS II - Calc'!B:B, 0))</f>
        <v/>
      </c>
      <c r="E11">
        <f>SUMIF('CS II - Calc'!B:B, A11, 'CS II - Calc'!K:K)</f>
        <v/>
      </c>
      <c r="F11" t="n">
        <v>2500</v>
      </c>
      <c r="G11">
        <f>D11*F11</f>
        <v/>
      </c>
      <c r="H11">
        <f>IF(E11&gt;G11,'YES','NO')</f>
        <v/>
      </c>
    </row>
    <row r="12">
      <c r="A12" s="48" t="inlineStr">
        <is>
          <t>OVERALL TOTAL (USD)</t>
        </is>
      </c>
      <c r="E12" s="48">
        <f>SUM(E4:E11)</f>
        <v/>
      </c>
    </row>
    <row r="13">
      <c r="A13" s="48" t="inlineStr">
        <is>
          <t>Highest Earners</t>
        </is>
      </c>
    </row>
    <row r="14">
      <c r="A14" s="58" t="inlineStr">
        <is>
          <t>Country</t>
        </is>
      </c>
      <c r="B14" s="58" t="inlineStr">
        <is>
          <t>Employee ID</t>
        </is>
      </c>
      <c r="C14" s="58" t="inlineStr">
        <is>
          <t>Reward USD</t>
        </is>
      </c>
    </row>
    <row r="15">
      <c r="A15" t="inlineStr">
        <is>
          <t>USA</t>
        </is>
      </c>
      <c r="B15">
        <f>INDEX('CS II - Calc'!A:A, MATCH(1, ('CS II - Calc'!B:B=A15)*('CS II - Calc'!K:K=C15),0))</f>
        <v/>
      </c>
      <c r="C15">
        <f>MAX(IF('CS II - Calc'!B:B=A15, 'CS II - Calc'!K:K))</f>
        <v/>
      </c>
    </row>
    <row r="16">
      <c r="A16" t="inlineStr">
        <is>
          <t>India</t>
        </is>
      </c>
      <c r="B16">
        <f>INDEX('CS II - Calc'!A:A, MATCH(1, ('CS II - Calc'!B:B=A16)*('CS II - Calc'!K:K=C16),0))</f>
        <v/>
      </c>
      <c r="C16">
        <f>MAX(IF('CS II - Calc'!B:B=A16, 'CS II - Calc'!K:K))</f>
        <v/>
      </c>
    </row>
    <row r="17">
      <c r="A17" t="inlineStr">
        <is>
          <t>UK</t>
        </is>
      </c>
      <c r="B17">
        <f>INDEX('CS II - Calc'!A:A, MATCH(1, ('CS II - Calc'!B:B=A17)*('CS II - Calc'!K:K=C17),0))</f>
        <v/>
      </c>
      <c r="C17">
        <f>MAX(IF('CS II - Calc'!B:B=A17, 'CS II - Calc'!K:K))</f>
        <v/>
      </c>
    </row>
    <row r="18">
      <c r="A18" t="inlineStr">
        <is>
          <t>Australia</t>
        </is>
      </c>
      <c r="B18">
        <f>INDEX('CS II - Calc'!A:A, MATCH(1, ('CS II - Calc'!B:B=A18)*('CS II - Calc'!K:K=C18),0))</f>
        <v/>
      </c>
      <c r="C18">
        <f>MAX(IF('CS II - Calc'!B:B=A18, 'CS II - Calc'!K:K))</f>
        <v/>
      </c>
    </row>
    <row r="19">
      <c r="A19" t="inlineStr">
        <is>
          <t>Spain</t>
        </is>
      </c>
      <c r="B19">
        <f>INDEX('CS II - Calc'!A:A, MATCH(1, ('CS II - Calc'!B:B=A19)*('CS II - Calc'!K:K=C19),0))</f>
        <v/>
      </c>
      <c r="C19">
        <f>MAX(IF('CS II - Calc'!B:B=A19, 'CS II - Calc'!K:K))</f>
        <v/>
      </c>
    </row>
    <row r="20">
      <c r="A20" t="inlineStr">
        <is>
          <t>Netherlands</t>
        </is>
      </c>
      <c r="B20">
        <f>INDEX('CS II - Calc'!A:A, MATCH(1, ('CS II - Calc'!B:B=A20)*('CS II - Calc'!K:K=C20),0))</f>
        <v/>
      </c>
      <c r="C20">
        <f>MAX(IF('CS II - Calc'!B:B=A20, 'CS II - Calc'!K:K))</f>
        <v/>
      </c>
    </row>
    <row r="21">
      <c r="A21" t="inlineStr">
        <is>
          <t>Germany</t>
        </is>
      </c>
      <c r="B21">
        <f>INDEX('CS II - Calc'!A:A, MATCH(1, ('CS II - Calc'!B:B=A21)*('CS II - Calc'!K:K=C21),0))</f>
        <v/>
      </c>
      <c r="C21">
        <f>MAX(IF('CS II - Calc'!B:B=A21, 'CS II - Calc'!K:K))</f>
        <v/>
      </c>
    </row>
    <row r="22">
      <c r="A22" t="inlineStr">
        <is>
          <t>Canada</t>
        </is>
      </c>
      <c r="B22">
        <f>INDEX('CS II - Calc'!A:A, MATCH(1, ('CS II - Calc'!B:B=A22)*('CS II - Calc'!K:K=C22),0))</f>
        <v/>
      </c>
      <c r="C22">
        <f>MAX(IF('CS II - Calc'!B:B=A22, 'CS II - Calc'!K:K))</f>
        <v/>
      </c>
    </row>
    <row r="24">
      <c r="A24" s="48" t="inlineStr">
        <is>
          <t>Overall Highest (Employee ID)</t>
        </is>
      </c>
      <c r="B24">
        <f>INDEX('CS II - Calc'!A:A, MATCH(MAX('CS II - Calc'!K:K), 'CS II - Calc'!K:K, 0))</f>
        <v/>
      </c>
    </row>
    <row r="25">
      <c r="A25" s="48" t="inlineStr">
        <is>
          <t>Overall Highest (Reward USD)</t>
        </is>
      </c>
      <c r="B25">
        <f>MAX('CS II - Calc'!K:K)</f>
        <v/>
      </c>
    </row>
    <row r="26">
      <c r="A26" s="48" t="inlineStr">
        <is>
          <t>Interview Totals</t>
        </is>
      </c>
    </row>
    <row r="27">
      <c r="A27" s="58" t="inlineStr">
        <is>
          <t>Country</t>
        </is>
      </c>
      <c r="B27" s="58" t="inlineStr">
        <is>
          <t>Interview Count</t>
        </is>
      </c>
      <c r="C27" s="58" t="inlineStr">
        <is>
          <t>Interview Rewards USD</t>
        </is>
      </c>
    </row>
    <row r="28">
      <c r="A28" t="inlineStr">
        <is>
          <t>USA</t>
        </is>
      </c>
      <c r="B28">
        <f>SUMIFS('CS II - Calc'!L:L, 'CS II - Calc'!B:B, A28)</f>
        <v/>
      </c>
      <c r="C28">
        <f>SUMIFS('CS II - Calc'!K:K, 'CS II - Calc'!B:B, A28, 'CS II - Calc'!L:L, 1)</f>
        <v/>
      </c>
    </row>
    <row r="29">
      <c r="A29" t="inlineStr">
        <is>
          <t>India</t>
        </is>
      </c>
      <c r="B29">
        <f>SUMIFS('CS II - Calc'!L:L, 'CS II - Calc'!B:B, A29)</f>
        <v/>
      </c>
      <c r="C29">
        <f>SUMIFS('CS II - Calc'!K:K, 'CS II - Calc'!B:B, A29, 'CS II - Calc'!L:L, 1)</f>
        <v/>
      </c>
    </row>
    <row r="30">
      <c r="A30" t="inlineStr">
        <is>
          <t>UK</t>
        </is>
      </c>
      <c r="B30">
        <f>SUMIFS('CS II - Calc'!L:L, 'CS II - Calc'!B:B, A30)</f>
        <v/>
      </c>
      <c r="C30">
        <f>SUMIFS('CS II - Calc'!K:K, 'CS II - Calc'!B:B, A30, 'CS II - Calc'!L:L, 1)</f>
        <v/>
      </c>
    </row>
    <row r="31">
      <c r="A31" t="inlineStr">
        <is>
          <t>Australia</t>
        </is>
      </c>
      <c r="B31">
        <f>SUMIFS('CS II - Calc'!L:L, 'CS II - Calc'!B:B, A31)</f>
        <v/>
      </c>
      <c r="C31">
        <f>SUMIFS('CS II - Calc'!K:K, 'CS II - Calc'!B:B, A31, 'CS II - Calc'!L:L, 1)</f>
        <v/>
      </c>
    </row>
    <row r="32">
      <c r="A32" t="inlineStr">
        <is>
          <t>Spain</t>
        </is>
      </c>
      <c r="B32">
        <f>SUMIFS('CS II - Calc'!L:L, 'CS II - Calc'!B:B, A32)</f>
        <v/>
      </c>
      <c r="C32">
        <f>SUMIFS('CS II - Calc'!K:K, 'CS II - Calc'!B:B, A32, 'CS II - Calc'!L:L, 1)</f>
        <v/>
      </c>
    </row>
    <row r="33">
      <c r="A33" t="inlineStr">
        <is>
          <t>Netherlands</t>
        </is>
      </c>
      <c r="B33">
        <f>SUMIFS('CS II - Calc'!L:L, 'CS II - Calc'!B:B, A33)</f>
        <v/>
      </c>
      <c r="C33">
        <f>SUMIFS('CS II - Calc'!K:K, 'CS II - Calc'!B:B, A33, 'CS II - Calc'!L:L, 1)</f>
        <v/>
      </c>
    </row>
    <row r="34">
      <c r="A34" t="inlineStr">
        <is>
          <t>Germany</t>
        </is>
      </c>
      <c r="B34">
        <f>SUMIFS('CS II - Calc'!L:L, 'CS II - Calc'!B:B, A34)</f>
        <v/>
      </c>
      <c r="C34">
        <f>SUMIFS('CS II - Calc'!K:K, 'CS II - Calc'!B:B, A34, 'CS II - Calc'!L:L, 1)</f>
        <v/>
      </c>
    </row>
    <row r="35">
      <c r="A35" t="inlineStr">
        <is>
          <t>Canada</t>
        </is>
      </c>
      <c r="B35">
        <f>SUMIFS('CS II - Calc'!L:L, 'CS II - Calc'!B:B, A35)</f>
        <v/>
      </c>
      <c r="C35">
        <f>SUMIFS('CS II - Calc'!K:K, 'CS II - Calc'!B:B, A35, 'CS II - Calc'!L:L, 1)</f>
        <v/>
      </c>
    </row>
    <row r="36">
      <c r="A36" s="48" t="inlineStr">
        <is>
          <t>Overall Interview Count</t>
        </is>
      </c>
      <c r="B36">
        <f>SUM(B28:B35)</f>
        <v/>
      </c>
    </row>
    <row r="37">
      <c r="A37" s="48" t="inlineStr">
        <is>
          <t>Overall Interview Rewards USD</t>
        </is>
      </c>
      <c r="B37">
        <f>SUM(C28:C35)</f>
        <v/>
      </c>
    </row>
  </sheetData>
  <conditionalFormatting sqref="H4:H11">
    <cfRule type="expression" priority="1" dxfId="0" stopIfTrue="1">
      <formula>H4="YES"</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Divyansh.Singh@grailinsights.com</dc:creator>
  <dcterms:created xmlns:dcterms="http://purl.org/dc/terms/" xmlns:xsi="http://www.w3.org/2001/XMLSchema-instance" xsi:type="dcterms:W3CDTF">2013-12-24T06:06:14Z</dcterms:created>
  <dcterms:modified xmlns:dcterms="http://purl.org/dc/terms/" xmlns:xsi="http://www.w3.org/2001/XMLSchema-instance" xsi:type="dcterms:W3CDTF">2025-10-07T14:31:07Z</dcterms:modified>
  <cp:lastModifiedBy>Swati Mittal</cp:lastModifiedBy>
  <cp:lastPrinted>2014-01-02T05:41:49Z</cp:lastPrinted>
</cp:coreProperties>
</file>