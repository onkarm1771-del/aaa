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Monthly labor rate card across levels</t>
        </is>
      </c>
      <c r="F1" s="1" t="inlineStr">
        <is>
          <t>Current FTE (Headcount)</t>
        </is>
      </c>
    </row>
    <row r="2">
      <c r="A2" s="2" t="inlineStr">
        <is>
          <t>Level</t>
        </is>
      </c>
      <c r="B2" s="2" t="inlineStr">
        <is>
          <t>Location A rate</t>
        </is>
      </c>
      <c r="C2" s="2" t="inlineStr">
        <is>
          <t>Location B rate</t>
        </is>
      </c>
      <c r="D2" s="2" t="inlineStr">
        <is>
          <t>Move A-&gt;B FTEs</t>
        </is>
      </c>
      <c r="E2" s="3" t="n"/>
      <c r="F2" s="2" t="inlineStr">
        <is>
          <t>Level</t>
        </is>
      </c>
      <c r="G2" s="2" t="inlineStr">
        <is>
          <t>Location A</t>
        </is>
      </c>
      <c r="H2" s="2" t="inlineStr">
        <is>
          <t>Location B</t>
        </is>
      </c>
      <c r="I2" s="3" t="n"/>
      <c r="J2" s="3" t="n"/>
      <c r="K2" s="3" t="n"/>
      <c r="L2" s="3" t="n"/>
    </row>
    <row r="3">
      <c r="A3" s="3" t="inlineStr">
        <is>
          <t>Manager</t>
        </is>
      </c>
      <c r="B3" s="3" t="n">
        <v>15000</v>
      </c>
      <c r="C3" s="3" t="n">
        <v>14900</v>
      </c>
      <c r="D3" s="3" t="n">
        <v>1</v>
      </c>
      <c r="E3" s="3" t="n"/>
      <c r="F3" s="3" t="inlineStr">
        <is>
          <t>Manager</t>
        </is>
      </c>
      <c r="G3" s="3" t="n">
        <v>1</v>
      </c>
      <c r="H3" s="3" t="n">
        <v>0</v>
      </c>
      <c r="I3" s="3" t="n"/>
      <c r="J3" s="3" t="n"/>
      <c r="K3" s="3" t="n"/>
      <c r="L3" s="3" t="n"/>
    </row>
    <row r="4">
      <c r="A4" s="3" t="inlineStr">
        <is>
          <t>Sr. Team Lead</t>
        </is>
      </c>
      <c r="B4" s="3" t="n">
        <v>12000</v>
      </c>
      <c r="C4" s="3" t="n">
        <v>11700</v>
      </c>
      <c r="D4" s="3" t="n">
        <v>2</v>
      </c>
      <c r="E4" s="3" t="n"/>
      <c r="F4" s="3" t="inlineStr">
        <is>
          <t>Sr. Team Lead</t>
        </is>
      </c>
      <c r="G4" s="3" t="n">
        <v>2</v>
      </c>
      <c r="H4" s="3" t="n">
        <v>3</v>
      </c>
      <c r="I4" s="3" t="n"/>
      <c r="J4" s="3" t="n"/>
      <c r="K4" s="3" t="n"/>
      <c r="L4" s="3" t="n"/>
    </row>
    <row r="5">
      <c r="A5" s="3" t="inlineStr">
        <is>
          <t>Team Lead</t>
        </is>
      </c>
      <c r="B5" s="3" t="n">
        <v>10000</v>
      </c>
      <c r="C5" s="3" t="n">
        <v>8850</v>
      </c>
      <c r="D5" s="3" t="n">
        <v>3</v>
      </c>
      <c r="E5" s="3" t="n"/>
      <c r="F5" s="3" t="inlineStr">
        <is>
          <t>Team Lead</t>
        </is>
      </c>
      <c r="G5" s="3" t="n">
        <v>3</v>
      </c>
      <c r="H5" s="3" t="n">
        <v>5</v>
      </c>
      <c r="I5" s="3" t="n"/>
      <c r="J5" s="3" t="n"/>
      <c r="K5" s="3" t="n"/>
      <c r="L5" s="3" t="n"/>
    </row>
    <row r="6">
      <c r="A6" s="3" t="inlineStr">
        <is>
          <t>Sr. Analyst II</t>
        </is>
      </c>
      <c r="B6" s="3" t="n">
        <v>8000</v>
      </c>
      <c r="C6" s="3" t="n">
        <v>7000</v>
      </c>
      <c r="D6" s="3" t="n">
        <v>5</v>
      </c>
      <c r="E6" s="3" t="n"/>
      <c r="F6" s="3" t="inlineStr">
        <is>
          <t>Sr. Analyst II</t>
        </is>
      </c>
      <c r="G6" s="3" t="n">
        <v>5</v>
      </c>
      <c r="H6" s="3" t="n">
        <v>8</v>
      </c>
      <c r="I6" s="3" t="n"/>
      <c r="J6" s="3" t="n"/>
      <c r="K6" s="3" t="n"/>
      <c r="L6" s="3" t="n"/>
    </row>
    <row r="7">
      <c r="A7" s="3" t="inlineStr">
        <is>
          <t>Sr. Analyst I</t>
        </is>
      </c>
      <c r="B7" s="3" t="n">
        <v>6000</v>
      </c>
      <c r="C7" s="3" t="n">
        <v>5300</v>
      </c>
      <c r="D7" s="3" t="n">
        <v>7</v>
      </c>
      <c r="E7" s="3" t="n"/>
      <c r="F7" s="3" t="inlineStr">
        <is>
          <t>Sr. Analyst I</t>
        </is>
      </c>
      <c r="G7" s="3" t="n">
        <v>7</v>
      </c>
      <c r="H7" s="3" t="n">
        <v>14</v>
      </c>
      <c r="I7" s="3" t="n"/>
      <c r="J7" s="3" t="n"/>
      <c r="K7" s="3" t="n"/>
      <c r="L7" s="3" t="n"/>
    </row>
    <row r="8">
      <c r="A8" s="3" t="inlineStr">
        <is>
          <t>Analyst II</t>
        </is>
      </c>
      <c r="B8" s="3" t="n">
        <v>4500</v>
      </c>
      <c r="C8" s="3" t="n">
        <v>4000</v>
      </c>
      <c r="D8" s="3" t="n">
        <v>14</v>
      </c>
      <c r="E8" s="3" t="n"/>
      <c r="F8" s="3" t="inlineStr">
        <is>
          <t>Analyst II</t>
        </is>
      </c>
      <c r="G8" s="3" t="n">
        <v>14</v>
      </c>
      <c r="H8" s="3" t="n">
        <v>45</v>
      </c>
      <c r="I8" s="3" t="n"/>
      <c r="J8" s="3" t="n"/>
      <c r="K8" s="3" t="n"/>
      <c r="L8" s="3" t="n"/>
    </row>
    <row r="9">
      <c r="A9" s="3" t="inlineStr">
        <is>
          <t>Analyst I</t>
        </is>
      </c>
      <c r="B9" s="3" t="n">
        <v>2500</v>
      </c>
      <c r="C9" s="3" t="n">
        <v>2200</v>
      </c>
      <c r="D9" s="3" t="n">
        <v>23</v>
      </c>
      <c r="E9" s="3" t="n"/>
      <c r="F9" s="3" t="inlineStr">
        <is>
          <t>Analyst I</t>
        </is>
      </c>
      <c r="G9" s="3" t="n">
        <v>23</v>
      </c>
      <c r="H9" s="3" t="n">
        <v>25</v>
      </c>
      <c r="I9" s="3" t="n"/>
      <c r="J9" s="3" t="n"/>
      <c r="K9" s="3" t="n"/>
      <c r="L9" s="3" t="n"/>
    </row>
    <row r="10">
      <c r="A10" s="3" t="inlineStr">
        <is>
          <t>Analyst I - Night Shift</t>
        </is>
      </c>
      <c r="B10" s="3" t="n">
        <v>3200</v>
      </c>
      <c r="C10" s="3" t="n">
        <v>2750</v>
      </c>
      <c r="D10" s="3" t="n">
        <v>0</v>
      </c>
      <c r="E10" s="3" t="n"/>
      <c r="F10" s="3" t="inlineStr">
        <is>
          <t>Analyst I - Night Shift</t>
        </is>
      </c>
      <c r="G10" s="3" t="n">
        <v>0</v>
      </c>
      <c r="H10" s="3" t="n">
        <v>0</v>
      </c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4" t="inlineStr">
        <is>
          <t>Total FTEs</t>
        </is>
      </c>
      <c r="G11" s="4">
        <f>SUM(G3:G10)</f>
        <v/>
      </c>
      <c r="H11" s="4">
        <f>SUM(H3:H10)</f>
        <v/>
      </c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5" t="inlineStr">
        <is>
          <t>Assumptions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inlineStr">
        <is>
          <t>B rate hike</t>
        </is>
      </c>
      <c r="B15" s="3" t="n">
        <v>0.05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inlineStr">
        <is>
          <t>Infra per moved FTE</t>
        </is>
      </c>
      <c r="B16" s="3" t="n">
        <v>3500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inlineStr">
        <is>
          <t>Retention default</t>
        </is>
      </c>
      <c r="B17" s="3" t="n">
        <v>2000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inlineStr">
        <is>
          <t>Retention for Manager/Sr. TL</t>
        </is>
      </c>
      <c r="B18" s="3" t="n">
        <v>3000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inlineStr">
        <is>
          <t>Monthly project overhead per added FTE</t>
        </is>
      </c>
      <c r="B19" s="3" t="n">
        <v>105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inlineStr">
        <is>
          <t>New B hires (Analyst I - Night Shift)</t>
        </is>
      </c>
      <c r="B20" s="3" t="n">
        <v>2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inlineStr">
        <is>
          <t>Night transport per FTE per month</t>
        </is>
      </c>
      <c r="B21" s="3" t="n">
        <v>250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inlineStr">
        <is>
          <t>Horizon months</t>
        </is>
      </c>
      <c r="B22" s="3" t="n">
        <v>36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5" t="inlineStr">
        <is>
          <t>Calculations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2" t="inlineStr">
        <is>
          <t>Level</t>
        </is>
      </c>
      <c r="B25" s="2" t="inlineStr">
        <is>
          <t>A Rate</t>
        </is>
      </c>
      <c r="C25" s="2" t="inlineStr">
        <is>
          <t>B Rate</t>
        </is>
      </c>
      <c r="D25" s="2" t="inlineStr">
        <is>
          <t>A FTE</t>
        </is>
      </c>
      <c r="E25" s="2" t="inlineStr">
        <is>
          <t>B FTE</t>
        </is>
      </c>
      <c r="F25" s="2" t="inlineStr">
        <is>
          <t>Move FTE</t>
        </is>
      </c>
      <c r="G25" s="2" t="inlineStr">
        <is>
          <t>B Wage after 5% hike</t>
        </is>
      </c>
      <c r="H25" s="2" t="inlineStr">
        <is>
          <t>Monthly B wage post</t>
        </is>
      </c>
      <c r="I25" s="2" t="inlineStr">
        <is>
          <t>Monthly overhead (105/FTE)</t>
        </is>
      </c>
      <c r="J25" s="2" t="inlineStr">
        <is>
          <t>Monthly transport (night)</t>
        </is>
      </c>
      <c r="K25" s="2" t="inlineStr">
        <is>
          <t>Baseline monthly cost</t>
        </is>
      </c>
      <c r="L25" s="2" t="inlineStr">
        <is>
          <t>Post monthly cost</t>
        </is>
      </c>
    </row>
    <row r="26">
      <c r="A26" s="3" t="inlineStr">
        <is>
          <t>Manager</t>
        </is>
      </c>
      <c r="B26" s="3">
        <f>B3</f>
        <v/>
      </c>
      <c r="C26" s="3">
        <f>C3</f>
        <v/>
      </c>
      <c r="D26" s="3">
        <f>G3</f>
        <v/>
      </c>
      <c r="E26" s="3">
        <f>H3</f>
        <v/>
      </c>
      <c r="F26" s="3">
        <f>D3</f>
        <v/>
      </c>
      <c r="G26" s="3">
        <f>C3*(1+$B$15)</f>
        <v/>
      </c>
      <c r="H26" s="3">
        <f>(H3+D3)*G26</f>
        <v/>
      </c>
      <c r="I26" s="3" t="n">
        <v>0</v>
      </c>
      <c r="J26" s="3" t="n">
        <v>0</v>
      </c>
      <c r="K26" s="3">
        <f>B26*D26+C26*E26</f>
        <v/>
      </c>
      <c r="L26" s="3">
        <f>H26+J26</f>
        <v/>
      </c>
    </row>
    <row r="27">
      <c r="A27" s="3" t="inlineStr">
        <is>
          <t>Sr. Team Lead</t>
        </is>
      </c>
      <c r="B27" s="3">
        <f>B4</f>
        <v/>
      </c>
      <c r="C27" s="3">
        <f>C4</f>
        <v/>
      </c>
      <c r="D27" s="3">
        <f>G4</f>
        <v/>
      </c>
      <c r="E27" s="3">
        <f>H4</f>
        <v/>
      </c>
      <c r="F27" s="3">
        <f>D4</f>
        <v/>
      </c>
      <c r="G27" s="3">
        <f>C4*(1+$B$15)</f>
        <v/>
      </c>
      <c r="H27" s="3">
        <f>(H4+D4)*G27</f>
        <v/>
      </c>
      <c r="I27" s="3" t="n">
        <v>0</v>
      </c>
      <c r="J27" s="3" t="n">
        <v>0</v>
      </c>
      <c r="K27" s="3">
        <f>B27*D27+C27*E27</f>
        <v/>
      </c>
      <c r="L27" s="3">
        <f>H27+J27</f>
        <v/>
      </c>
    </row>
    <row r="28">
      <c r="A28" s="3" t="inlineStr">
        <is>
          <t>Team Lead</t>
        </is>
      </c>
      <c r="B28" s="3">
        <f>B5</f>
        <v/>
      </c>
      <c r="C28" s="3">
        <f>C5</f>
        <v/>
      </c>
      <c r="D28" s="3">
        <f>G5</f>
        <v/>
      </c>
      <c r="E28" s="3">
        <f>H5</f>
        <v/>
      </c>
      <c r="F28" s="3">
        <f>D5</f>
        <v/>
      </c>
      <c r="G28" s="3">
        <f>C5*(1+$B$15)</f>
        <v/>
      </c>
      <c r="H28" s="3">
        <f>(H5+D5)*G28</f>
        <v/>
      </c>
      <c r="I28" s="3" t="n">
        <v>0</v>
      </c>
      <c r="J28" s="3" t="n">
        <v>0</v>
      </c>
      <c r="K28" s="3">
        <f>B28*D28+C28*E28</f>
        <v/>
      </c>
      <c r="L28" s="3">
        <f>H28+J28</f>
        <v/>
      </c>
    </row>
    <row r="29">
      <c r="A29" s="3" t="inlineStr">
        <is>
          <t>Sr. Analyst II</t>
        </is>
      </c>
      <c r="B29" s="3">
        <f>B6</f>
        <v/>
      </c>
      <c r="C29" s="3">
        <f>C6</f>
        <v/>
      </c>
      <c r="D29" s="3">
        <f>G6</f>
        <v/>
      </c>
      <c r="E29" s="3">
        <f>H6</f>
        <v/>
      </c>
      <c r="F29" s="3">
        <f>D6</f>
        <v/>
      </c>
      <c r="G29" s="3">
        <f>C6*(1+$B$15)</f>
        <v/>
      </c>
      <c r="H29" s="3">
        <f>(H6+D6)*G29</f>
        <v/>
      </c>
      <c r="I29" s="3" t="n">
        <v>0</v>
      </c>
      <c r="J29" s="3" t="n">
        <v>0</v>
      </c>
      <c r="K29" s="3">
        <f>B29*D29+C29*E29</f>
        <v/>
      </c>
      <c r="L29" s="3">
        <f>H29+J29</f>
        <v/>
      </c>
    </row>
    <row r="30">
      <c r="A30" s="3" t="inlineStr">
        <is>
          <t>Sr. Analyst I</t>
        </is>
      </c>
      <c r="B30" s="3">
        <f>B7</f>
        <v/>
      </c>
      <c r="C30" s="3">
        <f>C7</f>
        <v/>
      </c>
      <c r="D30" s="3">
        <f>G7</f>
        <v/>
      </c>
      <c r="E30" s="3">
        <f>H7</f>
        <v/>
      </c>
      <c r="F30" s="3">
        <f>D7</f>
        <v/>
      </c>
      <c r="G30" s="3">
        <f>C7*(1+$B$15)</f>
        <v/>
      </c>
      <c r="H30" s="3">
        <f>(H7+D7)*G30</f>
        <v/>
      </c>
      <c r="I30" s="3" t="n">
        <v>0</v>
      </c>
      <c r="J30" s="3" t="n">
        <v>0</v>
      </c>
      <c r="K30" s="3">
        <f>B30*D30+C30*E30</f>
        <v/>
      </c>
      <c r="L30" s="3">
        <f>H30+J30</f>
        <v/>
      </c>
    </row>
    <row r="31">
      <c r="A31" s="3" t="inlineStr">
        <is>
          <t>Analyst II</t>
        </is>
      </c>
      <c r="B31" s="3">
        <f>B8</f>
        <v/>
      </c>
      <c r="C31" s="3">
        <f>C8</f>
        <v/>
      </c>
      <c r="D31" s="3">
        <f>G8</f>
        <v/>
      </c>
      <c r="E31" s="3">
        <f>H8</f>
        <v/>
      </c>
      <c r="F31" s="3">
        <f>D8</f>
        <v/>
      </c>
      <c r="G31" s="3">
        <f>C8*(1+$B$15)</f>
        <v/>
      </c>
      <c r="H31" s="3">
        <f>(H8+D8)*G31</f>
        <v/>
      </c>
      <c r="I31" s="3" t="n">
        <v>0</v>
      </c>
      <c r="J31" s="3" t="n">
        <v>0</v>
      </c>
      <c r="K31" s="3">
        <f>B31*D31+C31*E31</f>
        <v/>
      </c>
      <c r="L31" s="3">
        <f>H31+J31</f>
        <v/>
      </c>
    </row>
    <row r="32">
      <c r="A32" s="3" t="inlineStr">
        <is>
          <t>Analyst I</t>
        </is>
      </c>
      <c r="B32" s="3">
        <f>B9</f>
        <v/>
      </c>
      <c r="C32" s="3">
        <f>C9</f>
        <v/>
      </c>
      <c r="D32" s="3">
        <f>G9</f>
        <v/>
      </c>
      <c r="E32" s="3">
        <f>H9</f>
        <v/>
      </c>
      <c r="F32" s="3">
        <f>D9</f>
        <v/>
      </c>
      <c r="G32" s="3">
        <f>C9*(1+$B$15)</f>
        <v/>
      </c>
      <c r="H32" s="3">
        <f>(H9+D9)*G32</f>
        <v/>
      </c>
      <c r="I32" s="3" t="n">
        <v>0</v>
      </c>
      <c r="J32" s="3" t="n">
        <v>0</v>
      </c>
      <c r="K32" s="3">
        <f>B32*D32+C32*E32</f>
        <v/>
      </c>
      <c r="L32" s="3">
        <f>H32+J32</f>
        <v/>
      </c>
    </row>
    <row r="33">
      <c r="A33" s="3" t="inlineStr">
        <is>
          <t>Analyst I - Night Shift</t>
        </is>
      </c>
      <c r="B33" s="3">
        <f>B10</f>
        <v/>
      </c>
      <c r="C33" s="3">
        <f>C10</f>
        <v/>
      </c>
      <c r="D33" s="3">
        <f>G10</f>
        <v/>
      </c>
      <c r="E33" s="3">
        <f>H10</f>
        <v/>
      </c>
      <c r="F33" s="3">
        <f>D10</f>
        <v/>
      </c>
      <c r="G33" s="3">
        <f>C10*(1+$B$15)</f>
        <v/>
      </c>
      <c r="H33" s="3">
        <f>(H10+D10+$B$20)*G33</f>
        <v/>
      </c>
      <c r="I33" s="3" t="n">
        <v>0</v>
      </c>
      <c r="J33" s="3">
        <f>$B$20*$B$21</f>
        <v/>
      </c>
      <c r="K33" s="3">
        <f>B33*D33+C33*E33</f>
        <v/>
      </c>
      <c r="L33" s="3">
        <f>H33+J33</f>
        <v/>
      </c>
    </row>
    <row r="34">
      <c r="A34" s="4" t="inlineStr">
        <is>
          <t>Totals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">
        <f>SUM(K26:K33)</f>
        <v/>
      </c>
      <c r="L34" s="4">
        <f>SUM(L26:L33)</f>
        <v/>
      </c>
    </row>
    <row r="35">
      <c r="A35" s="3" t="inlineStr">
        <is>
          <t>Added FTE to B (incl. moves + new night)</t>
        </is>
      </c>
      <c r="B35" s="3">
        <f>SUM(F26:F33)+$B$20</f>
        <v/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inlineStr">
        <is>
          <t>Monthly project overhead (105/FTE)</t>
        </is>
      </c>
      <c r="B36" s="3">
        <f>B35*$B$19</f>
        <v/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inlineStr">
        <is>
          <t>Post monthly cost (incl. overhead)</t>
        </is>
      </c>
      <c r="B37" s="3">
        <f>L34+B36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5" t="inlineStr">
        <is>
          <t>KPIs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inlineStr">
        <is>
          <t>Baseline monthly cost</t>
        </is>
      </c>
      <c r="B40" s="3">
        <f>K34</f>
        <v/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inlineStr">
        <is>
          <t>Post monthly cost</t>
        </is>
      </c>
      <c r="B41" s="3">
        <f>B37</f>
        <v/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inlineStr">
        <is>
          <t>Monthly savings</t>
        </is>
      </c>
      <c r="B42" s="3">
        <f>A40-A41</f>
        <v/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inlineStr">
        <is>
          <t>One-time transition cost</t>
        </is>
      </c>
      <c r="B43" s="3">
        <f>F26*($B$16+$B$18) + F27*($B$16+$B$18) + F28*($B$16+$B$17) + F29*($B$16+$B$17) + F30*($B$16+$B$17) + F31*($B$16+$B$17) + F32*($B$16+$B$17) + F33*($B$16+$B$17)</f>
        <v/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inlineStr">
        <is>
          <t>36-month baseline total</t>
        </is>
      </c>
      <c r="B44" s="3">
        <f>A40*$B$22</f>
        <v/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inlineStr">
        <is>
          <t>36-month post total</t>
        </is>
      </c>
      <c r="B45" s="3">
        <f>A41*$B$22+A43</f>
        <v/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inlineStr">
        <is>
          <t>3-year savings</t>
        </is>
      </c>
      <c r="B46" s="3">
        <f>A44-A45</f>
        <v/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inlineStr">
        <is>
          <t>Breakeven months</t>
        </is>
      </c>
      <c r="B47" s="3">
        <f>IF((A42-A41)&gt;0,CEILING(A43/(A40-A41),1),"N/A")</f>
        <v/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</sheetData>
  <mergeCells count="2">
    <mergeCell ref="A1:D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2025-10-07T13:46:48Z</dcterms:created>
  <dcterms:modified xmlns:dcterms="http://purl.org/dc/terms/" xmlns:xsi="http://www.w3.org/2001/XMLSchema-instance" xsi:type="dcterms:W3CDTF">2025-10-07T13:46:48Z</dcterms:modified>
</cp:coreProperties>
</file>